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mục" sheetId="1" r:id="rId5"/>
    <sheet state="visible" name="Luồng" sheetId="2" r:id="rId6"/>
    <sheet state="visible" name="RACI" sheetId="3" r:id="rId7"/>
    <sheet state="visible" name="DoR" sheetId="4" r:id="rId8"/>
    <sheet state="visible" name="Prompt Log" sheetId="5" r:id="rId9"/>
    <sheet state="visible" name="Mẫu Prompt" sheetId="6" r:id="rId10"/>
    <sheet state="visible" name="Cần chốt" sheetId="7" r:id="rId11"/>
    <sheet state="visible" name="Đối chiếu task cũ" sheetId="8" r:id="rId12"/>
    <sheet state="visible" name="Tasks" sheetId="9" r:id="rId13"/>
  </sheets>
  <definedNames/>
  <calcPr/>
</workbook>
</file>

<file path=xl/sharedStrings.xml><?xml version="1.0" encoding="utf-8"?>
<sst xmlns="http://schemas.openxmlformats.org/spreadsheetml/2006/main" count="2277" uniqueCount="900">
  <si>
    <t>Mã luồng</t>
  </si>
  <si>
    <t>\9</t>
  </si>
  <si>
    <t>Tên</t>
  </si>
  <si>
    <t>Ngày bắt đầu</t>
  </si>
  <si>
    <t>Tên luồng</t>
  </si>
  <si>
    <t>Nhóm</t>
  </si>
  <si>
    <t>Ngày kết thúc</t>
  </si>
  <si>
    <t>Mục tiêu</t>
  </si>
  <si>
    <t>(1) Flow Card đủ mục</t>
  </si>
  <si>
    <t>Nguyễn Tấn Phát</t>
  </si>
  <si>
    <t>Bắt đầu khi</t>
  </si>
  <si>
    <t>Mốc chính của tuần</t>
  </si>
  <si>
    <t>(2) Sơ đồ luồng chính đã vẽ và PO duyệt</t>
  </si>
  <si>
    <t>Lê Nguyễn Quốc An</t>
  </si>
  <si>
    <t>Kết thúc khi</t>
  </si>
  <si>
    <t>Tên thành viên</t>
  </si>
  <si>
    <t>Nhận từ luồng</t>
  </si>
  <si>
    <t>(3) Trạng thái/State đã định nghĩa</t>
  </si>
  <si>
    <t>Lâm Trúc Uyên</t>
  </si>
  <si>
    <t>Vai trò</t>
  </si>
  <si>
    <t>Bàn giao cho luồng</t>
  </si>
  <si>
    <t>Huỳnh Ngọc Nhã Uyên</t>
  </si>
  <si>
    <t>(4) Dữ liệu, bảng, meta, taxonomy đã liệt kê</t>
  </si>
  <si>
    <t>Flow Owner</t>
  </si>
  <si>
    <t>Trạng thái</t>
  </si>
  <si>
    <t>PO duyệt</t>
  </si>
  <si>
    <t>Bùi Hiếu Nhân</t>
  </si>
  <si>
    <t>(5) Endpoint/hook đã chốt</t>
  </si>
  <si>
    <t>SM duyệt</t>
  </si>
  <si>
    <t>Nguyễn Minh Trí</t>
  </si>
  <si>
    <t>Ưu tiên</t>
  </si>
  <si>
    <t>QA</t>
  </si>
  <si>
    <t>(6) Tiêu chí chấp nhận &gt;= 5 (Given-When-Then)</t>
  </si>
  <si>
    <t>Trần Ngọc Minh Tuyền</t>
  </si>
  <si>
    <t>Cổng</t>
  </si>
  <si>
    <t>Nguyễn Ngọc Thảo Uyên</t>
  </si>
  <si>
    <t>Hạn chốt G3</t>
  </si>
  <si>
    <t>(7) Ràng buộc kỹ thuật đã ghi</t>
  </si>
  <si>
    <t>Rubric</t>
  </si>
  <si>
    <t>Rubric liên quan</t>
  </si>
  <si>
    <t>Kiểm tra</t>
  </si>
  <si>
    <t>(8) Dữ liệu/kịch bản test mẫu</t>
  </si>
  <si>
    <t>G1</t>
  </si>
  <si>
    <t>Trạng thái DoR</t>
  </si>
  <si>
    <t>G2</t>
  </si>
  <si>
    <t>G3</t>
  </si>
  <si>
    <t>G4</t>
  </si>
  <si>
    <t>L01</t>
  </si>
  <si>
    <t>G5</t>
  </si>
  <si>
    <t>Tuần 01</t>
  </si>
  <si>
    <t>G6</t>
  </si>
  <si>
    <t>G7</t>
  </si>
  <si>
    <t>G8</t>
  </si>
  <si>
    <t>% hoàn thành</t>
  </si>
  <si>
    <t>Sẵn sàng prompt?</t>
  </si>
  <si>
    <t>Link thư mục docs/flows/...</t>
  </si>
  <si>
    <t>Luồng 01</t>
  </si>
  <si>
    <t>Quiz chẩn đoán da &amp; Routine cá nhân hóa</t>
  </si>
  <si>
    <t>R</t>
  </si>
  <si>
    <t>C</t>
  </si>
  <si>
    <t>I</t>
  </si>
  <si>
    <t>A</t>
  </si>
  <si>
    <t>Chuỗi khách hàng</t>
  </si>
  <si>
    <t>Giúp khách hàng nhận diện đúng loại da và nhận Routine 3-4 sản phẩm phù hợp qua bài trắc nghiệm.</t>
  </si>
  <si>
    <t>Khách bấm "Làm Quiz"</t>
  </si>
  <si>
    <t>Hiển thị Routine 3–4 sản phẩm</t>
  </si>
  <si>
    <t>L08</t>
  </si>
  <si>
    <t>L02, L03</t>
  </si>
  <si>
    <t>Khởi tạo nền tảng, Docker, Repo, Phân tích thị trường</t>
  </si>
  <si>
    <t>PO &amp; BA</t>
  </si>
  <si>
    <t>Backlog</t>
  </si>
  <si>
    <t>Khẩn cấp</t>
  </si>
  <si>
    <t>Must</t>
  </si>
  <si>
    <t>Tuần 02</t>
  </si>
  <si>
    <t>Lean Canvas, Kanban, Setup Custom Plugin &amp; Theme UI Tokens</t>
  </si>
  <si>
    <t>Scrum Master &amp; DevOps</t>
  </si>
  <si>
    <t>Không</t>
  </si>
  <si>
    <t>To Do</t>
  </si>
  <si>
    <t>Cao</t>
  </si>
  <si>
    <t>Tuần 03</t>
  </si>
  <si>
    <t>Hạn chốt G3 (L01, L02, L08, L09), Crawl &gt;= 500 SKU</t>
  </si>
  <si>
    <t>Theme Dev 1 (Catalog, UI)</t>
  </si>
  <si>
    <t>In Progress</t>
  </si>
  <si>
    <t>Trung bình</t>
  </si>
  <si>
    <t>Tuần 04</t>
  </si>
  <si>
    <t>L02</t>
  </si>
  <si>
    <t>Hạn chốt G3 (L03, L04, L05), Code Đợt A (Quiz, Catalog, Hạ tầng)</t>
  </si>
  <si>
    <t>Khám phá &amp; chọn sản phẩm (Catalog, lọc, chi tiết)</t>
  </si>
  <si>
    <t>Theme Dev 2 (Quiz Frontend, Cart/Checkout UX)</t>
  </si>
  <si>
    <t>Review</t>
  </si>
  <si>
    <t>Thấp</t>
  </si>
  <si>
    <t>Tuần 05</t>
  </si>
  <si>
    <t>Luồng 02</t>
  </si>
  <si>
    <t>L03</t>
  </si>
  <si>
    <t>Hạn chốt G3 (L06, L07), Import &gt;= 500 SKU đủ 3 taxonomy</t>
  </si>
  <si>
    <t>Giỏ hàng &amp; Combo Routine</t>
  </si>
  <si>
    <t>Plugin Dev 1 (Quiz Backend, Taxonomy, REST)</t>
  </si>
  <si>
    <t>Testing</t>
  </si>
  <si>
    <t>L04</t>
  </si>
  <si>
    <t>Checkout &amp; Thanh toán (COD, VietQR, VNPay Sandbox)</t>
  </si>
  <si>
    <t>Luồng 03</t>
  </si>
  <si>
    <t>Tuần 06</t>
  </si>
  <si>
    <t>Hạn chốt G3 (L10), Bật HPOS WooCommerce</t>
  </si>
  <si>
    <t>Plugin Dev 2 (Crawler, HPOS, Redis, khuyến mãi)</t>
  </si>
  <si>
    <t>L05</t>
  </si>
  <si>
    <t>Done</t>
  </si>
  <si>
    <t>Xử lý đơn hàng &amp; Thông báo (vòng đời đơn, HPOS, tồn kho, email hóa đơn)</t>
  </si>
  <si>
    <t>Tuần 07</t>
  </si>
  <si>
    <t>Luồng 04</t>
  </si>
  <si>
    <t>Redis Object Cache Connected, Chốt REST namespace</t>
  </si>
  <si>
    <t>L06</t>
  </si>
  <si>
    <t>Integration Dev (thanh toán, email, vận chuyển, REST API)</t>
  </si>
  <si>
    <t>Vận chuyển &amp; Giao hàng tận tay (phí ship, trạng thái giao, giao thất bại)</t>
  </si>
  <si>
    <t>Blocked</t>
  </si>
  <si>
    <t>Tuần 08</t>
  </si>
  <si>
    <t>L07</t>
  </si>
  <si>
    <t>Website VPS domain HTTPS (Rubric 5.1), Selenium 3 tác vụ (5.5), REST API 3 tác vụ (5.6)</t>
  </si>
  <si>
    <t>Đổi trả &amp; Hoàn tiền (7 ngày, kiểm hàng, hoàn tiền, nhập lại kho)</t>
  </si>
  <si>
    <t>QA &amp; Automation (Selenium)</t>
  </si>
  <si>
    <t>Luồng 05</t>
  </si>
  <si>
    <t>Dữ liệu sản phẩm &gt;= 500 SKU (crawl -&gt; làm sạch -&gt; gán taxonomy -&gt; import)</t>
  </si>
  <si>
    <t>Tuần 09</t>
  </si>
  <si>
    <t>Load test 50 users, Regression test Selenium 5/5 lần, Script Python gọi REST</t>
  </si>
  <si>
    <t>L09</t>
  </si>
  <si>
    <t>Hạ tầng, Triển khai &amp; Hiệu năng</t>
  </si>
  <si>
    <t>Tuần 10</t>
  </si>
  <si>
    <t>Tổng duyệt, hoàn thiện báo cáo Word, slide, video 4K, Demo Day</t>
  </si>
  <si>
    <t>Luồng 06</t>
  </si>
  <si>
    <t>Luồng 07</t>
  </si>
  <si>
    <t>L10</t>
  </si>
  <si>
    <t>Tự động hóa &amp; API (Selenium + REST cùng 3 tác vụ)</t>
  </si>
  <si>
    <t>L00</t>
  </si>
  <si>
    <t>Quản trị dự án, Báo cáo &amp; Demo</t>
  </si>
  <si>
    <t>Luồng 08</t>
  </si>
  <si>
    <t>Luồng 09</t>
  </si>
  <si>
    <t>Luồng 10</t>
  </si>
  <si>
    <t>Luồng 00</t>
  </si>
  <si>
    <t>docs/flows/L01-quiz-routine/</t>
  </si>
  <si>
    <t>Cung cấp giao diện duyệt sản phẩm, lọc theo đa tiêu chí taxonomy và xem chi tiết sản phẩm chuẩn UX.</t>
  </si>
  <si>
    <t>Khách vào web/tìm kiếm</t>
  </si>
  <si>
    <t>Bấm "Thêm vào giỏ"</t>
  </si>
  <si>
    <t>docs/flows/L02-catalog-product/</t>
  </si>
  <si>
    <t>Quản lý giỏ hàng mượt mà, tự động áp dụng giảm giá 10% combo routine và cảnh báo xung đột hoạt chất.</t>
  </si>
  <si>
    <t>Thêm vào giỏ (kể cả 1-click Routine)</t>
  </si>
  <si>
    <t>Bấm "Thanh toán"</t>
  </si>
  <si>
    <t>L01, L02</t>
  </si>
  <si>
    <t>docs/flows/L03-cart-combo/</t>
  </si>
  <si>
    <t>Xử lý thông tin giao hàng và tích hợp đa dạng cổng thanh toán an toàn, chính xác (Rubric 5.2).</t>
  </si>
  <si>
    <t>Nhập thông tin giao hàng</t>
  </si>
  <si>
    <t>Thanh toán được xác nhận</t>
  </si>
  <si>
    <t>Mã prompt</t>
  </si>
  <si>
    <t>Mã task</t>
  </si>
  <si>
    <t>Luồng</t>
  </si>
  <si>
    <t>Người viết</t>
  </si>
  <si>
    <t>Agent/Model</t>
  </si>
  <si>
    <t>Phiên bản</t>
  </si>
  <si>
    <t>Tài liệu đính kèm</t>
  </si>
  <si>
    <t>Nội dung prompt</t>
  </si>
  <si>
    <t>Kết quả</t>
  </si>
  <si>
    <t>Lý do sửa</t>
  </si>
  <si>
    <t>Link PR</t>
  </si>
  <si>
    <t>Ngày</t>
  </si>
  <si>
    <t>PRM-01 (VÍ DỤ)</t>
  </si>
  <si>
    <t>L01-G4-01</t>
  </si>
  <si>
    <t>Claude 3.5 Sonnet</t>
  </si>
  <si>
    <t>v1.0</t>
  </si>
  <si>
    <t>docs/flows/L01-quiz-routine/flow-card.md</t>
  </si>
  <si>
    <t>Dựa trên Flow Card L01 và cấu trúc bảng wp_options, hãy sinh class Quiz_Engine xử lý tính điểm weighted tag matching...</t>
  </si>
  <si>
    <t>Cần sửa</t>
  </si>
  <si>
    <t>Thiếu kiểm tra nonce CSRF trong REST endpoint, đã bổ sung tay trước khi mở PR</t>
  </si>
  <si>
    <t>https://github.com/QuocAn0303/KLEER/pull/12</t>
  </si>
  <si>
    <t>docs/flows/L04-checkout-payment/</t>
  </si>
  <si>
    <t>Nền tảng</t>
  </si>
  <si>
    <t>Quản lý toàn bộ vòng đời đơn hàng, trừ tồn kho, tối ưu lưu trữ với HPOS (Rubric 5.3) và gửi email hóa đơn.</t>
  </si>
  <si>
    <t>Đơn được tạo</t>
  </si>
  <si>
    <t>Đơn sẵn sàng giao</t>
  </si>
  <si>
    <t>L07, L06, L10</t>
  </si>
  <si>
    <t>HƯỚNG DẪN SỬ DỤNG MẪU PROMPT CHO AI AGENT</t>
  </si>
  <si>
    <t>1. Đọc kỹ Flow Card và sơ đồ đã được PO/SM duyệt tại cổng G3 trước khi điền thông tin.</t>
  </si>
  <si>
    <t>2. Thay thế toàn bộ các phần trong ngoặc vuông [...] bằng đặc tả chi tiết của module cần sinh code.</t>
  </si>
  <si>
    <t>3. Không tự ý chỉnh sửa các ràng buộc tại mục 'KHÔNG ĐƯỢC LÀM' để bảo đảm tính kỷ luật của repo.</t>
  </si>
  <si>
    <t># BỐI CẢNH
Dự án KLEER: website TMĐT mỹ phẩm Unisex trên WordPress/WooCommerce, chạy Docker (nginx, php 8.2-fpm, mariadb 10.11, redis).
Theme: wp-content/themes/kleer-theme/. Plugin: wp-content/plugins/kleer-plugin/. Không sửa WordPress Core. Không dùng Elementor/WPBakery.
Chuẩn code: PHP theo PSR-12, JS ES6+. Mọi thay đổi qua Pull Request vào nhánh develop.
# LUỒNG VÀ NHIỆM VỤ
Luồng: [Lxx – tên luồng]
Nhiệm vụ cụ thể (1 việc, 1 đầu ra): [mô tả]
# ĐẦU VÀO (đính kèm hoặc dán vào)
- Flow Card: [link/nội dung]
- Sơ đồ: [link/mermaid]
- Endpoint/Hook đã chốt: [request/response mẫu]
- Dữ liệu liên quan: [bảng, meta, taxonomy]
# ĐẦU RA MONG ĐỢI
- Danh sách file cần tạo/sửa (đường dẫn đầy đủ)
- Hàm/class/hook chính và chữ ký
- Cách chạy thử trong Docker
# TIÊU CHÍ CHẤP NHẬN (Given–When–Then)
[≥ 5 ca, gồm ≥ 2 ca ngoại lệ]
# KHÔNG ĐƯỢC LÀM
- Không sửa file ngoài phạm vi nêu trên
- Không commit .env, secret
- Không thêm thư viện mới nếu chưa hỏi
# YÊU CẦU CUỐI
Liệt kê các giả định đã dùng và những chỗ cần người review kiểm tra kỹ.</t>
  </si>
  <si>
    <t>docs/flows/L05-order-processing/</t>
  </si>
  <si>
    <t>Mô phỏng quy trình tính phí vận chuyển và cập nhật trạng thái giao hàng tận tay khách hàng.</t>
  </si>
  <si>
    <t>Khách nhận hàng hoặc giao thất bại</t>
  </si>
  <si>
    <t>L07 (Đã giao là mốc tính 7 ngày)</t>
  </si>
  <si>
    <t>Should</t>
  </si>
  <si>
    <t>docs/flows/L06-shipping-delivery/</t>
  </si>
  <si>
    <t>Mã cũ</t>
  </si>
  <si>
    <t>Tuần cũ</t>
  </si>
  <si>
    <t>Thành viên cũ</t>
  </si>
  <si>
    <t>Tiếp nhận yêu cầu đổi trả trong 7 ngày, kiểm định sản phẩm, thực hiện hoàn tiền và nhập lại kho.</t>
  </si>
  <si>
    <t>Khách yêu cầu trả hàng</t>
  </si>
  <si>
    <t>Tóm tắt cũ</t>
  </si>
  <si>
    <t>Hoàn tiền xong và tồn kho cập nhật</t>
  </si>
  <si>
    <t>STT</t>
  </si>
  <si>
    <t>DoD cũ</t>
  </si>
  <si>
    <t>L05 (nhập kho &amp; hoàn tiền)</t>
  </si>
  <si>
    <t>Trạng thái cũ</t>
  </si>
  <si>
    <t>Mã task mới tương ứng</t>
  </si>
  <si>
    <t>Vấn đề</t>
  </si>
  <si>
    <t>Ghi chú tách/gộp</t>
  </si>
  <si>
    <t>Đã map?</t>
  </si>
  <si>
    <t>Phương án mặc định</t>
  </si>
  <si>
    <t>TASK-01</t>
  </si>
  <si>
    <t>Ai chốt</t>
  </si>
  <si>
    <t>Hạn chốt</t>
  </si>
  <si>
    <t>Khảo sát thị trường Unisex Skincare, phân tích chân dung khách hàng Gen Z và người bận rộn; Viết đề cương chi tiết Chương 1 Báo cáo (Lý do chọn đề tài, mục tiêu, phạm vi).</t>
  </si>
  <si>
    <t>Bản thảo Chương 1 file Word (tối thiểu 3 trang), có số liệu thị trường kèm trích dẫn nguồn uy tín.</t>
  </si>
  <si>
    <t>Đang thực hiện</t>
  </si>
  <si>
    <t>L00-G1-01</t>
  </si>
  <si>
    <t>Chuyển thành task G1 nghiên cứu thị trường của luồng Quản trị L00</t>
  </si>
  <si>
    <t>Tên thư mục và REST namespace</t>
  </si>
  <si>
    <t>Sổ tay dùng unisex-theme và unisex-quiz-engine nhưng repo dùng kleer-theme và kleer-plugin. Mặc định: theo repo cho thư mục; namespace REST cần chốt trước khi Nhân viết endpoint (Tuần 7). giữ kleer/v1</t>
  </si>
  <si>
    <t>TASK-02</t>
  </si>
  <si>
    <t>Khởi tạo GitHub repo, cấu hình nhánh main/develop, branch protection; Viết docker-compose.yml chuẩn (Nginx, PHP 8.2-FPM, MariaDB 10.11, Redis, phpMyAdmin).</t>
  </si>
  <si>
    <t>100% 8 thành viên khởi động thành công web local qua Docker trong 1 lệnh không lỗi port/môi trường.</t>
  </si>
  <si>
    <t>Đã chốt</t>
  </si>
  <si>
    <t>Hoàn thành</t>
  </si>
  <si>
    <t>L09-G5-01</t>
  </si>
  <si>
    <t>Chuyển thành task G5 khởi tạo Docker stack của luồng Hạ tầng L09 (Rubric 5.1)</t>
  </si>
  <si>
    <t>Phạm vi L06 Giao hàng</t>
  </si>
  <si>
    <t>Mặc định mô phỏng bằng trạng thái đơn tùy biến (Đóng gói, Đang giao, Đã giao, Giao thất bại), chưa tích hợp API hãng vận chuyển để tránh quá tải.</t>
  </si>
  <si>
    <t>Lê Nguyễn Quốc An + Nguyễn Tấn Phát</t>
  </si>
  <si>
    <t>TASK-03</t>
  </si>
  <si>
    <t>Đã thống nhất sơ bộ</t>
  </si>
  <si>
    <t>Nghiên cứu cấu trúc phát triển Plugin WordPress OOP Boilerplate; Lập kế hoạch kiến trúc thư mục Custom Plugin tách biệt hoàn toàn khỏi Theme.</t>
  </si>
  <si>
    <t>docs/flows/L07-return-refund/</t>
  </si>
  <si>
    <t>Tài liệu cấu trúc Plugin: Tách biệt rõ Controllers, Models, Services và Endpoints.</t>
  </si>
  <si>
    <t>Phạm vi L07 Hoàn tiền</t>
  </si>
  <si>
    <t>L09-G1-01</t>
  </si>
  <si>
    <t>Mặc định dùng refund có sẵn của WooCommerce và nhập lại kho; chưa gọi API hoàn tiền của VNPay Sandbox.</t>
  </si>
  <si>
    <t>Chuyển thành task G1 nghiên cứu kiến trúc Custom Plugin OOP Boilerplate</t>
  </si>
  <si>
    <t>Nguyễn Tấn Phát + Trần Ngọc Minh Tuyền</t>
  </si>
  <si>
    <t>Thu thập độc lập &gt;= 500 SKU mỹ phẩm thật, chuẩn hóa taxonomy và import vào hệ thống (Rubric 5.4).</t>
  </si>
  <si>
    <t>Chọn nguồn</t>
  </si>
  <si>
    <t>&gt;= 500 SKU đã import, đủ 3 taxonomy</t>
  </si>
  <si>
    <t>Chính sách đổi trả 7 ngày</t>
  </si>
  <si>
    <t>7 ngày tính từ ngày "Đã giao" hay ngày đặt hàng? Điều kiện hàng trả (chưa mở seal, lỗi nhà sản xuất)?</t>
  </si>
  <si>
    <t>Đang chờ</t>
  </si>
  <si>
    <t>TASK-04</t>
  </si>
  <si>
    <t>Danh sách trạng thái đơn hàng chuẩn</t>
  </si>
  <si>
    <t>Nghiên cứu tài liệu kỹ thuật tích hợp cổng thanh toán trực tuyến tại Việt Nam (VNPay Sandbox, Momo Sandbox, COD, VietQR); Đăng ký tài khoản Sandbox.</t>
  </si>
  <si>
    <t>Tài khoản VNPay/Momo Sandbox được kích hoạt, có đầy đủ TmnCode và HashSecret.</t>
  </si>
  <si>
    <t>Cần định nghĩa danh sách trạng thái chuẩn gồm cả trạng thái đổi trả và giao hàng để đồng bộ HPOS.</t>
  </si>
  <si>
    <t>Nguyễn Tấn Phát + Nguyễn Minh Trí</t>
  </si>
  <si>
    <t>L04-G1-01</t>
  </si>
  <si>
    <t>Chuyển thành task G1 nghiên cứu cổng thanh toán Sandbox của luồng Checkout L04 (Rubric 5.2)</t>
  </si>
  <si>
    <t>Combo subscription (nhắc trong Lean Canvas)</t>
  </si>
  <si>
    <t>Có làm không? Mặc định: không làm (Could) để tập trung vào luồng cốt lõi.</t>
  </si>
  <si>
    <t>Đã thống nhất bỏ qua</t>
  </si>
  <si>
    <t>TASK-05</t>
  </si>
  <si>
    <t>Tên thương hiệu dùng trong báo cáo và domain</t>
  </si>
  <si>
    <t>KLEER hay "Unisex Skincare"? Mặc định chọn KLEER làm tên thương hiệu thương mại.</t>
  </si>
  <si>
    <t>Nghiên cứu phong cách thiết kế Unisex Skincare (Minimalist, tone màu Earthy Tone, font sans-serif); Tạo Moodboard và Design Tokens.</t>
  </si>
  <si>
    <t>Nguyễn Tấn Phát + Lê Nguyễn Quốc An</t>
  </si>
  <si>
    <t>Bảng Design Guidelines (PDF/Figma link) được PO và nhóm thống nhất thông qua.</t>
  </si>
  <si>
    <t>L02-G1-01</t>
  </si>
  <si>
    <t>Đã chọn KLEER</t>
  </si>
  <si>
    <t>Chuyển thành task G1 nghiên cứu phong cách thiết kế Unisex Skincare của luồng Catalog L02</t>
  </si>
  <si>
    <t>Trạng thái Tuần 6 trong sheet cũ</t>
  </si>
  <si>
    <t>Trạng thái (Đang thực hiện/Đang review) nhìn như dữ liệu mẫu, đã đặt lại về Backlog trong hệ thống mới.</t>
  </si>
  <si>
    <t>Đã chốt về Backlog</t>
  </si>
  <si>
    <t>Quy ước viết prompt cho AI agent</t>
  </si>
  <si>
    <t>Ai được dùng agent nào, bắt buộc ghi Prompt Log cho mọi prompt sinh code hay chỉ với module chính.</t>
  </si>
  <si>
    <t>TASK-06</t>
  </si>
  <si>
    <t>Nghiên cứu cơ chế tương tác (Micro-interactions) của Quiz mỹ phẩm hàng đầu (Curology, Function of Beauty, Sephora); Lên ý tưởng trải nghiệm UX.</t>
  </si>
  <si>
    <t>Bản phân tích UX Benchmark kèm đề xuất hiệu ứng chuyển cảnh cho đồ án.</t>
  </si>
  <si>
    <t>L01-G1-01</t>
  </si>
  <si>
    <t>Chuyển thành task G1 nghiên cứu UX Benchmark Quiz của luồng Quiz L01</t>
  </si>
  <si>
    <t>TASK-07</t>
  </si>
  <si>
    <t>docs/flows/L08-product-data/</t>
  </si>
  <si>
    <t>Xây dựng Test Plan tổng thể cho dự án: Phạm vi, chiến lược kiểm thử, định nghĩa Severity (Critical, Major, Minor); Thiết lập Bug Report template trên GitHub Issues.</t>
  </si>
  <si>
    <t>Tài liệu Test Plan hoàn chỉnh; mẫu GitHub Issue Template cho Bug Report hoạt động.</t>
  </si>
  <si>
    <t>L10-G1-01</t>
  </si>
  <si>
    <t>Chuyển thành task G1 xây dựng Test Plan tổng thể của luồng Tự động hóa L10</t>
  </si>
  <si>
    <t>Đóng gói Docker đồng nhất, deploy Cloud VPS domain HTTPS (Rubric 5.1) và tăng tốc với Redis (Rubric 5.3).</t>
  </si>
  <si>
    <t>Repo/Docker local</t>
  </si>
  <si>
    <t>VPS domain HTTPS chạy ổn định, Redis/HPOS, load test</t>
  </si>
  <si>
    <t>Toàn hệ thống</t>
  </si>
  <si>
    <t>TASK-08</t>
  </si>
  <si>
    <t>Phân tích cấu trúc HTML các website mỹ phẩm uy tín (Hasaki, Cocoon, Paula's Choice); Lựa chọn giải pháp kỹ thuật viết Web Crawler (Python BeautifulSoup/Playwright).</t>
  </si>
  <si>
    <t>Tài liệu phân tích cấu trúc DOM trang nguồn và script thử nghiệm lấy được 5 sản phẩm mẫu.</t>
  </si>
  <si>
    <t>5.1, 5.3</t>
  </si>
  <si>
    <t>L08-G1-01</t>
  </si>
  <si>
    <t>Chuyển thành task G1 phân tích DOM website nguồn của luồng Dữ liệu L08 (Rubric 5.4)</t>
  </si>
  <si>
    <t>TASK-09</t>
  </si>
  <si>
    <t>Lập Lean Canvas, xác định mô hình doanh thu B2C (bán lẻ + combo subscription); Phân tích SWOT hệ thống với 4 chiến lược kết hợp (SO, WO, ST, WT).</t>
  </si>
  <si>
    <t>Hoàn thiện Chương 1 &amp; 2 file Báo cáo; ma trận SWOT có ít nhất 4 yếu tố trên mỗi góc phân tích.</t>
  </si>
  <si>
    <t>Chưa bắt đầu</t>
  </si>
  <si>
    <t>L00-G1-02</t>
  </si>
  <si>
    <t>Chuyển thành task G1 lập Lean Canvas &amp; SWOT của luồng Quản trị L00</t>
  </si>
  <si>
    <t>TASK-10</t>
  </si>
  <si>
    <t>Thiết lập Kanban Board trên Trello/Notion, tạo các cột trạng thái; Vận hành nghi thức Daily Async Standup hằng ngày lúc 22:00.</t>
  </si>
  <si>
    <t>Bảng quản lý công việc trực tuyến hoạt động; 100% thành viên cập nhật báo cáo tiến độ đúng giờ.</t>
  </si>
  <si>
    <t>L00-G1-03</t>
  </si>
  <si>
    <t>Chuyển thành task G1 thiết lập Kanban Board &amp; Daily Standup của luồng Quản trị L00</t>
  </si>
  <si>
    <t>TASK-11</t>
  </si>
  <si>
    <t>Khởi tạo Custom Plugin trong thư mục /wp-content/plugins/unisex-quiz-engine/; Thiết lập cơ chế kích hoạt (Activation Hook), hủy kích hoạt (Deactivation Hook) và autoloader.</t>
  </si>
  <si>
    <t>Plugin kích hoạt an toàn trong WP-Admin mà không sinh lỗi PHP Warning/Notice.</t>
  </si>
  <si>
    <t>L01-G5-01</t>
  </si>
  <si>
    <t>Chuyển thành task G5 khởi tạo kleer-plugin với activation/deactivation hooks của luồng Quiz L01</t>
  </si>
  <si>
    <t>docs/flows/L09-infra-devops/</t>
  </si>
  <si>
    <t>TASK-12</t>
  </si>
  <si>
    <t>Cấu hình phương thức thanh toán truyền thống trong WooCommerce: Thanh toán khi nhận hàng (COD) và Chuyển khoản ngân hàng (BACS) với mã VietQR tự sinh theo số tiền đơn.</t>
  </si>
  <si>
    <t>Khách hàng có thể chọn COD hoặc quét mã VietQR thành công ở màn hình Thank You page.</t>
  </si>
  <si>
    <t>Tự động hóa kiểm thử Selenium (Rubric 5.5) và cung cấp REST API độc lập (Rubric 5.6) cho 3 tác vụ quản trị.</t>
  </si>
  <si>
    <t>L04-G5-01</t>
  </si>
  <si>
    <t>Có đơn và sản phẩm mẫu</t>
  </si>
  <si>
    <t>Chuyển thành task G5 cấu hình phương thức thanh toán COD &amp; VietQR của luồng Checkout L04 (Rubric 5.2)</t>
  </si>
  <si>
    <t>2 script chạy thành công</t>
  </si>
  <si>
    <t>L05, L08</t>
  </si>
  <si>
    <t>Báo cáo môn học</t>
  </si>
  <si>
    <t>TASK-13</t>
  </si>
  <si>
    <t>Thiết kế Wireframe và Mockup UI chi tiết trên Figma cho: Trang chủ, Trang danh mục (Catalog), Trang chi tiết sản phẩm (PDP). Chuẩn Responsive Mobile-first.</t>
  </si>
  <si>
    <t>Figma Prototype hoàn chỉnh cả 2 phiên bản Desktop và Mobile được PO phê duyệt.</t>
  </si>
  <si>
    <t>L02-G2-01</t>
  </si>
  <si>
    <t>Chuyển thành task G2 thiết kế Wireframe &amp; Mockup UI Figma của luồng Catalog L02</t>
  </si>
  <si>
    <t>5.5, 5.6</t>
  </si>
  <si>
    <t>TASK-14</t>
  </si>
  <si>
    <t>Thiết kế Prototype chi tiết luồng Quiz trên Figma: Màn hình bắt đầu, các bước câu hỏi trắc nghiệm trực quan (có thanh tiến trình), màn hình chờ tải Routine.</t>
  </si>
  <si>
    <t>Figma Interactive Prototype: Thao tác click chọn đáp án chuyển mượt mà giữa các câu hỏi.</t>
  </si>
  <si>
    <t>L01-G2-01</t>
  </si>
  <si>
    <t>Chuyển thành task G2 thiết kế Prototype UI Quiz Figma của luồng Quiz L01</t>
  </si>
  <si>
    <t>TASK-15</t>
  </si>
  <si>
    <t>Xây dựng Test Cases cho các chức năng cơ bản của WooCommerce: Đăng ký/Đăng nhập, thêm sản phẩm vào giỏ, nhập mã giảm giá, đặt hàng COD.</t>
  </si>
  <si>
    <t>Bộ 25 Test Cases chi tiết cho phân hệ người dùng và thanh toán chuẩn.</t>
  </si>
  <si>
    <t>L05-G7-01</t>
  </si>
  <si>
    <t>Chuyển thành task G7 xây dựng bộ 25 Test Cases WooCommerce của luồng Xử lý đơn L05</t>
  </si>
  <si>
    <t>TASK-16</t>
  </si>
  <si>
    <t>Lập trình bộ cào dữ liệu tự động (Web Scraper Script): Xử lý vượt chặn IP cơ bản, tự động tải ảnh về thư mục cục bộ và phân loại trường thông tin.</t>
  </si>
  <si>
    <t>Script Python chạy ổn định, không bị chặn IP khi cào 50 sản phẩm đầu tiên.</t>
  </si>
  <si>
    <t>L08-G5-01</t>
  </si>
  <si>
    <t>Chuyển thành task G5 lập trình Scraper Script Python của luồng Dữ liệu L08 (Rubric 5.4)</t>
  </si>
  <si>
    <t>TASK-17</t>
  </si>
  <si>
    <t>Thu thập và phân tích yêu cầu phần mềm: Phân chia nhóm chức năng Khách vãng lai, Thành viên, Quản trị viên; Vẽ Sơ đồ Use Case tổng quát và đặc tả RUP.</t>
  </si>
  <si>
    <t>Tài liệu đặc tả Use Case: 100% Use Case có Pre-condition, Main Flow, Alternative Flow và Exception Flow.</t>
  </si>
  <si>
    <t>L00-G1-04</t>
  </si>
  <si>
    <t>Chuyển thành task G1 phân tích Use Case RUP của luồng Quản trị L00</t>
  </si>
  <si>
    <t>TASK-18</t>
  </si>
  <si>
    <t>Cùng Plugin Dev 2 cài đặt WooCommerce core, kiểm tra tương thích PHP 8.2; Cấu hình tiền tệ VNĐ, định dạng giá, đơn vị đo lường (ml, g); Tạo snapshot DB.</t>
  </si>
  <si>
    <t>Tên việc</t>
  </si>
  <si>
    <t>Bản snapshot cơ sở dữ liệu ban đầu sẵn sàng cung cấp cho 7 thành viên còn lại.</t>
  </si>
  <si>
    <t>Mô tả chi tiết</t>
  </si>
  <si>
    <t>L09-G5-02</t>
  </si>
  <si>
    <t>Đầu vào cần có</t>
  </si>
  <si>
    <t>Chuyển thành task G5 cài đặt WooCommerce core &amp; snapshot DB của luồng Hạ tầng L09</t>
  </si>
  <si>
    <t>Sản phẩm bàn giao</t>
  </si>
  <si>
    <t>Thư mục Drive quy định</t>
  </si>
  <si>
    <t>Tên file bản vẽ chuẩn (.drawio/Figma)</t>
  </si>
  <si>
    <t>Quy tắc &amp; Prompt Rule (Ràng buộc AI)</t>
  </si>
  <si>
    <t>DoD (đo được)</t>
  </si>
  <si>
    <t>Người thực hiện</t>
  </si>
  <si>
    <t>TASK-19</t>
  </si>
  <si>
    <t>Người duyệt</t>
  </si>
  <si>
    <t>Đăng ký 3 Custom Taxonomies cho sản phẩm WooCommerce qua action hook init: Loại da (skin_type), Vấn đề da (skin_concern), Bước Routine (routine_step).</t>
  </si>
  <si>
    <t>Tuần</t>
  </si>
  <si>
    <t>3 Taxonomies hiển thị đầy đủ trong menu Admin Quản lý sản phẩm của WooCommerce.</t>
  </si>
  <si>
    <t>L08-G5-02</t>
  </si>
  <si>
    <t>Bắt đầu</t>
  </si>
  <si>
    <t>Chuyển thành task G5 đăng ký 3 Custom Taxonomies của luồng Dữ liệu L08</t>
  </si>
  <si>
    <t>Hạn</t>
  </si>
  <si>
    <t>Phụ thuộc</t>
  </si>
  <si>
    <t>Mã task cũ</t>
  </si>
  <si>
    <t>TASK-20</t>
  </si>
  <si>
    <t>Link bàn giao (PR / Drive / Figma)</t>
  </si>
  <si>
    <t>Cài đặt và tích hợp Plugin cổng thanh toán VNPay Sandbox; Cấu hình thông số TmnCode, HashSecret; Kiểm tra tính hợp lệ của chữ ký dữ liệu SHA512.</t>
  </si>
  <si>
    <t>Ghi chú</t>
  </si>
  <si>
    <t>Thanh toán thử nghiệm thành công bằng thẻ test VNPay, trạng thái đơn chuyển sang Đang xử lý.</t>
  </si>
  <si>
    <t>Cảnh báo</t>
  </si>
  <si>
    <t>L04-G5-02</t>
  </si>
  <si>
    <t>Chuyển thành task G5 tích hợp Plugin VNPay Sandbox của luồng Checkout L04 (Rubric 5.2)</t>
  </si>
  <si>
    <t>docs/flows/L10-automation-api/</t>
  </si>
  <si>
    <t>Nghiên cứu phong cách thiết kế Unisex Skincare (Minimalist, tone màu Earthy Tone, font sans-serif); Tạo Moodboard và Design Tokens (màu sắc, typography, spacing).</t>
  </si>
  <si>
    <t>Quản trị dự án, Báo cáo &amp; Demo (Kanban, Daily, chương báo cáo, slide, video 4K, tổng duyệt)</t>
  </si>
  <si>
    <t>Tài liệu yêu cầu dự án và dữ liệu từ các luồng liên quan</t>
  </si>
  <si>
    <t>Quản trị tiến độ Agile/Scrum, kiểm soát tài liệu báo cáo Word, slide và tổ chức Demo Day hoàn hảo.</t>
  </si>
  <si>
    <t>Kickoff</t>
  </si>
  <si>
    <t>Thiết kế hệ thống TMDT/Trúc Uyên/</t>
  </si>
  <si>
    <t>Demo Day</t>
  </si>
  <si>
    <t>TASK-21</t>
  </si>
  <si>
    <t>Giảng viên &amp; Hội đồng</t>
  </si>
  <si>
    <t>Khởi tạo Custom Theme trong thư mục /wp-content/themes/unisex-theme/; Thiết lập functions.php, style.css, enqueue các file CSS/JS nền tảng.</t>
  </si>
  <si>
    <t>[NGƯỜI THIẾT KẾ] Figma: KLEER - Design System &amp; Catalog PDP Wireframe</t>
  </si>
  <si>
    <t>Theme kích hoạt thành công trên WordPress 6.4, kế thừa đầy đủ tính năng WooCommerce.</t>
  </si>
  <si>
    <t>Phong cách Minimalist Earthy Tone; Sans-serif; Đầy đủ Desktop 1440px và Mobile 375px; Tự dán link Figma frame vào ô này.</t>
  </si>
  <si>
    <t>L02-G5-01</t>
  </si>
  <si>
    <t>Chuyển thành task G5 khởi tạo Custom Theme kleer-theme của luồng Catalog L02</t>
  </si>
  <si>
    <t>TASK-22</t>
  </si>
  <si>
    <t>Dựng cấu trúc khung giao diện Quiz tĩnh bằng HTML5 semantic và CSS thuần (Flexbox/Grid); Chuẩn bị các container chứa câu hỏi và thanh tiến trình.</t>
  </si>
  <si>
    <t>Template tĩnh hoàn chỉnh cho từng câu hỏi, hiển thị đúng tỷ lệ trên cả Desktop và Mobile.</t>
  </si>
  <si>
    <t>L01-G5-02</t>
  </si>
  <si>
    <t>Chuyển thành task G5 dựng khung giao diện Quiz tĩnh HTML5 của luồng Quiz L01</t>
  </si>
  <si>
    <t>docs/flows/L00-project-management/</t>
  </si>
  <si>
    <t>TASK-23</t>
  </si>
  <si>
    <t>Soạn thảo Ma trận Kiểm thử Quiz (Quiz Test Matrix): Liệt kê tất cả các tổ hợp câu trả lời khả dĩ và kết quả Routine mong đợi tương ứng từ da liễu.</t>
  </si>
  <si>
    <t>Bảng Ma trận kiểm thử Quiz gồm ít nhất 30 ca kiểm thử (Test Scenarios).</t>
  </si>
  <si>
    <t>L01-G7-01</t>
  </si>
  <si>
    <t>Chuyển thành task G7 soạn thảo Quiz Test Matrix của luồng Quiz L01</t>
  </si>
  <si>
    <t>https://www.figma.com/design/BaI9IvT2Mji4nBZ3n6FKFH/Design-system?node-id=49-4&amp;t=2m2RM9qCQVkipAsD-1</t>
  </si>
  <si>
    <t>TASK-24</t>
  </si>
  <si>
    <t>Thực thi cào dữ liệu trên diện rộng (Rubric 5.4): Thu thập đủ thông tin tên, giá, thương hiệu, thành phần, công dụng, ảnh sản phẩm từ website nguồn.</t>
  </si>
  <si>
    <t>Đạt định lượng 500 - 600 sản phẩm thật kèm hình ảnh sắc nét lưu trữ cục bộ.</t>
  </si>
  <si>
    <t>L08-G5-03</t>
  </si>
  <si>
    <t>Chuyển thành task G5 cào diện rộng &gt;= 500 SKU thật của luồng Dữ liệu L08 (Rubric 5.4)</t>
  </si>
  <si>
    <t>TASK-25</t>
  </si>
  <si>
    <t>Phối hợp với Scrum Master rà soát tính logic giữa Use Case và các sơ đồ hướng đối tượng; Thiết kế kịch bản luồng khảo sát chẩn đoán da (Quiz Flowchart).</t>
  </si>
  <si>
    <t>Sơ đồ luồng Quiz dạng sơ đồ khối, xác định rõ các rẽ nhánh điều kiện chăm sóc da.</t>
  </si>
  <si>
    <t>L01-G2-02</t>
  </si>
  <si>
    <t>Chuyển thành task G2 thiết kế kịch bản luồng Quiz Flowchart của luồng Quiz L01</t>
  </si>
  <si>
    <t>TASK-26</t>
  </si>
  <si>
    <t>Rà soát 3 sơ đồ UML (Class, Sequence, Activity) cùng PO, đối chiếu với cấu trúc bảng MariaDB của WooCommerce để bảo đảm tính khả thi kỹ thuật.</t>
  </si>
  <si>
    <t>Bộ sơ đồ UML đạt chuẩn kỹ thuật, không có xung đột giữa thiết kế và cấu trúc CSDL.</t>
  </si>
  <si>
    <t>L00-G2-01</t>
  </si>
  <si>
    <t>Chuyển thành task G2 rà soát 3 sơ đồ UML của luồng Quản trị L00</t>
  </si>
  <si>
    <t>TASK-27</t>
  </si>
  <si>
    <t>Thiết kế cấu trúc dữ liệu lưu trữ câu hỏi và bảng ánh xạ trọng số điểm giữa các đáp án trắc nghiệm với các term của 3 Custom Taxonomies.</t>
  </si>
  <si>
    <t>Module cấu hình câu hỏi hoạt động, cho phép định nghĩa các trọng số điểm bằng mảng PHP.</t>
  </si>
  <si>
    <t>L01-G5-03</t>
  </si>
  <si>
    <t>Chuyển thành task G5 thiết kế cấu trúc dữ liệu lưu câu hỏi Quiz của luồng Quiz L01</t>
  </si>
  <si>
    <t>TASK-28</t>
  </si>
  <si>
    <t>Cấu hình dịch vụ gửi email SMTP (qua Gmail App Password hoặc SendGrid); Thiết lập tính năng tự động gửi email xác nhận ngay khi khách đặt hàng.</t>
  </si>
  <si>
    <t>Hệ thống gửi email thông báo hoạt động 100% trong môi trường Docker, không bị rơi vào spam.</t>
  </si>
  <si>
    <t>L05-G5-01</t>
  </si>
  <si>
    <t>Chuyển thành task G5 cấu hình dịch vụ gửi email SMTP của luồng Xử lý đơn L05</t>
  </si>
  <si>
    <t>TASK-29</t>
  </si>
  <si>
    <t>Lập trình giao diện Trang chủ: Hero banner giới thiệu triết lý Unisex, nút CTA dẫn tới Smart Quiz, danh mục nổi bật và các sản phẩm bán chạy.</t>
  </si>
  <si>
    <t>Trang chủ hoàn thiện 100% HTML/CSS, tốc độ render nhanh, tương thích hoàn toàn trên mobile.</t>
  </si>
  <si>
    <t>L02-G5-02</t>
  </si>
  <si>
    <t>Chuyển thành task G5 lập trình giao diện Trang chủ HTML/CSS của luồng Catalog L02</t>
  </si>
  <si>
    <t>Thiết kế hệ thống TMDT/Minh Tuyền/</t>
  </si>
  <si>
    <t>TASK-30</t>
  </si>
  <si>
    <t>Lập trình Single-Page Application (SPA) cho Quiz bằng Vanilla JS: Chuyển câu hỏi mượt mà, lưu tạm lựa chọn người dùng vào LocalStorage/State.</t>
  </si>
  <si>
    <t>Quiz hoạt động 100% không reload trang; thanh tiến trình cập nhật mượt mà theo từng câu.</t>
  </si>
  <si>
    <t>L01-G5-04</t>
  </si>
  <si>
    <t>Chuyển thành task G5 lập trình SPA Quiz Vanilla JS của luồng Quiz L01</t>
  </si>
  <si>
    <t>TASK-31</t>
  </si>
  <si>
    <t>Kiểm thử tính toàn vẹn của dữ liệu: Quét toàn bộ 500 sản phẩm đã cào để phát hiện link ảnh lỗi, giá trị trống (NULL), sai định dạng tiền tệ.</t>
  </si>
  <si>
    <t>Báo cáo rà soát dữ liệu: Xác nhận 100% SKU có ảnh hợp lệ và giá trị số dương.</t>
  </si>
  <si>
    <t>L08-G7-01</t>
  </si>
  <si>
    <t>Chuyển thành task G7 kiểm thử toàn vẹn dữ liệu 500 SKU của luồng Dữ liệu L08 (Rubric 5.4)</t>
  </si>
  <si>
    <t>TASK-32</t>
  </si>
  <si>
    <t>Viết script xử lý và xuất dữ liệu ra file CSV/JSON có cấu trúc chuẩn theo WooCommerce Product Import Schema, bao gồm các cột Taxonomy.</t>
  </si>
  <si>
    <t>File dữ liệu CSV chuẩn hóa 100% các cột bắt buộc của WooCommerce, sẵn sàng import.</t>
  </si>
  <si>
    <t>L08-G5-04</t>
  </si>
  <si>
    <t>Chuyển thành task G5 xuất dữ liệu CSV/JSON chuẩn hóa của luồng Dữ liệu L08 (Rubric 5.4)</t>
  </si>
  <si>
    <t>TASK-33</t>
  </si>
  <si>
    <t>Xây dựng Bảng Ma Trận Trọng Số Quiz (Quiz Decision Matrix): Thiết lập 5 câu hỏi cốt lõi, ma trận gán điểm cộng dồn cho từng lựa chọn ứng với Custom Taxonomies.</t>
  </si>
  <si>
    <t>File Google Sheets Ma trận trọng số: Phủ kín 4 loại da, 4 vấn đề da chính và 4 bước chăm sóc tiêu chuẩn.</t>
  </si>
  <si>
    <t>L01-G1-02</t>
  </si>
  <si>
    <t>Chuyển thành task G1 xây dựng Quiz Decision Matrix của luồng Quiz L01</t>
  </si>
  <si>
    <t>TASK-34</t>
  </si>
  <si>
    <t>Thiết kế Sơ đồ Kiến trúc Hệ thống: Kiến trúc mức luận lý (3-Tier Architecture) và Kiến trúc mức vật lý thể hiện các Docker Container, Volume, Network.</t>
  </si>
  <si>
    <t>2 sơ đồ kiến trúc chuẩn mực được vẽ bằng draw.io hoặc PlantUML, đính kèm vào Báo cáo.</t>
  </si>
  <si>
    <t>L09-G2-01</t>
  </si>
  <si>
    <t>Chuyển thành task G2 thiết kế sơ đồ kiến trúc 3-tier &amp; Docker runtime của luồng Hạ tầng L09 (Rubric 5.1)</t>
  </si>
  <si>
    <t>Doc v1.0</t>
  </si>
  <si>
    <t>TASK-35</t>
  </si>
  <si>
    <t>Lập trình Thuật toán Tính điểm Trọng số (Weighted Tag Matching): Thu nhận payload đáp án từ người dùng, tính tổng điểm và xếp hạng Taxonomy phù hợp.</t>
  </si>
  <si>
    <t>Hàm xử lý thuật toán đạt độ chính xác 100% so với Ma trận trọng số do PO cung cấp.</t>
  </si>
  <si>
    <t>L01-G5-05</t>
  </si>
  <si>
    <t>Chuyển thành task G5 lập trình Weighted Tag Matching của luồng Quiz L01</t>
  </si>
  <si>
    <t>Thiết kế Prototype UI và kịch bản luồng Quiz Flowchart</t>
  </si>
  <si>
    <t>Thiết kế Figma Prototype chi tiết từng câu hỏi có thanh tiến trình và vẽ sơ đồ luồng Quiz Flowchart dạng khối.</t>
  </si>
  <si>
    <t>TASK-36</t>
  </si>
  <si>
    <t>Figma Interactive Prototype: Thao tác click chọn đáp án và chuyển màn hình trực quan, được PO duyệt.</t>
  </si>
  <si>
    <t>Thiết kế và tùy biến mẫu HTML Email Hóa Đơn Khách Hàng (Customer Invoice): Đậm phong cách Unisex, hiển thị chi tiết sản phẩm, tổng tiền, mã QR.</t>
  </si>
  <si>
    <t>Thiết kế hệ thống TMDT/Nhã Uyên/</t>
  </si>
  <si>
    <t>Mẫu email hóa đơn chuyên nghiệp, chuẩn responsive, hiển thị đẹp trên cả Gmail Mobile và Outlook.</t>
  </si>
  <si>
    <t>[NGƯỜI VẼ] L01_Quiz_Logic_Flowchart.drawio (và Figma: KLEER - Quiz SPA UI)</t>
  </si>
  <si>
    <t>L05-G5-02</t>
  </si>
  <si>
    <t>Vẽ sơ đồ khối rẽ nhánh câu hỏi và ma trận tính điểm 4 bước; Bắt buộc ném file gốc .drawio/Figma vào Drive; Tuyệt đối cấm chụp ảnh màn hình; Tự dán link file vào ô này sau khi up.</t>
  </si>
  <si>
    <t>Chuyển thành task G5 thiết kế mẫu HTML Email Hóa Đơn của luồng Xử lý đơn L05</t>
  </si>
  <si>
    <t>Figma Interactive Prototype thao tác mượt mà và sơ đồ luồng Quiz xác định rõ các rẽ nhánh điều kiện.</t>
  </si>
  <si>
    <t>TASK-37</t>
  </si>
  <si>
    <t>Lập trình Trang Shop/Catalog: Lưới sản phẩm (Product Grid), hiển thị ảnh thumbnail, giá bán, nhãn phân loại Unisex và nút Thêm vào giỏ hàng nhanh.</t>
  </si>
  <si>
    <t>Template archive-product.php hiển thị chuẩn 12 sản phẩm/trang, phân trang mượt mà.</t>
  </si>
  <si>
    <t>L02-G5-03</t>
  </si>
  <si>
    <t>Chuyển thành task G5 lập trình Trang Shop/Catalog archive-product.php của luồng Catalog L02</t>
  </si>
  <si>
    <t>TASK-38</t>
  </si>
  <si>
    <t>Tích hợp Fetch API gọi endpoint REST API của Plugin Dev 1: Gửi mảng câu trả lời dưới dạng JSON, nhận kết quả đề xuất và xử lý hiệu ứng loading.</t>
  </si>
  <si>
    <t>Kết nối API thành công; bắt lỗi hiển thị thông báo thân thiện khi mất kết nối mạng.</t>
  </si>
  <si>
    <t>L01-G5-06</t>
  </si>
  <si>
    <t>Chuyển thành task G5 tích hợp Fetch API gọi REST API Quiz của luồng Quiz L01</t>
  </si>
  <si>
    <t>TASK-14, TASK-25</t>
  </si>
  <si>
    <t>TASK-39</t>
  </si>
  <si>
    <t>Kiểm thử phân hệ Giỏ hàng &amp; Thanh toán: Kiểm tra các trường hợp tính sai thuế, phí ship, mã giảm giá âm tiền, đặt hàng thiếu thông tin bắt buộc.</t>
  </si>
  <si>
    <t>Báo cáo kiểm thử Checkout: Hệ thống bắt lỗi chính xác 100% các trường hợp validation.</t>
  </si>
  <si>
    <t>L03-G7-01</t>
  </si>
  <si>
    <t>Chuyển thành task G7 kiểm thử phân hệ Giỏ hàng &amp; Thanh toán của luồng Giỏ hàng L03</t>
  </si>
  <si>
    <t>TASK-40</t>
  </si>
  <si>
    <t>Viết script import tự động (sử dụng WP-CLI hoặc WP All Import script) để nạp 500 SKU vào database kèm gán ảnh đại diện WebP và Taxonomies.</t>
  </si>
  <si>
    <t>500 sản phẩm hiển thị đầy đủ trên hệ thống kèm hình ảnh WebP dung lượng dưới 120KB.</t>
  </si>
  <si>
    <t>L08-G5-05</t>
  </si>
  <si>
    <t>Chuyển thành task G5 viết script import 500 SKU qua WP-CLI của luồng Dữ liệu L08 (Rubric 5.4)</t>
  </si>
  <si>
    <t>Thiết kế hệ thống TMDT/Hiếu Nhân/</t>
  </si>
  <si>
    <t>[CODE ĐỘC LẬP - Không phụ thuộc bản vẽ]</t>
  </si>
  <si>
    <t>Khởi tạo Custom Plugin boilerplate trong /wp-content/plugins/unisex-quiz-engine/; Activation/Deactivation hooks; PSR-4 Autoloader.</t>
  </si>
  <si>
    <t>TASK-41</t>
  </si>
  <si>
    <t>Tiếp nhận file dữ liệu crawl từ Plugin Dev 2; Rà soát làm sạch: Chuẩn hóa tên sản phẩm, giá bán, gán đủ 3 Custom Taxonomies cho &gt;= 500 SKU.</t>
  </si>
  <si>
    <t>File dữ liệu 500 SKU sạch 100%: Không trùng lặp, không lỗi font UTF-8, 100% sản phẩm có đủ taxonomy.</t>
  </si>
  <si>
    <t>L08-G6-01</t>
  </si>
  <si>
    <t>Chuyển thành task G6 rà soát làm sạch 500 SKU &amp; taxonomy của luồng Dữ liệu L08 (Rubric 5.4)</t>
  </si>
  <si>
    <t>TASK-42</t>
  </si>
  <si>
    <t>Cấu hình Redis Object Cache trên Docker: Tích hợp thư viện PhpRedis vào container WordPress, cấu hình wp-config.php kích hoạt Redis cache.</t>
  </si>
  <si>
    <t>Tỷ lệ Redis Cache Hit Ratio đạt &gt;= 80%; thời gian phản hồi truy vấn database giảm &gt;= 50%.</t>
  </si>
  <si>
    <t>L09-G5-03</t>
  </si>
  <si>
    <t>Chuyển thành task G5 cấu hình Redis Object Cache Docker của luồng Hạ tầng L09 (Rubric 5.3)</t>
  </si>
  <si>
    <t>TASK-43</t>
  </si>
  <si>
    <t>Lập trình Logic Truy vấn Sản phẩm (Routine Query Engine): Dựa trên Taxonomy được xếp hạng cao nhất, truy vấn chính xác 3 - 4 sản phẩm đại diện.</t>
  </si>
  <si>
    <t>Trả về danh sách 3 - 4 sản phẩm đại diện cho: Làm sạch, Đặc trị, Dưỡng ẩm, Chống nắng.</t>
  </si>
  <si>
    <t>L01-G5-07</t>
  </si>
  <si>
    <t>Chuyển thành task G5 lập trình Routine Query Engine của luồng Quiz L01</t>
  </si>
  <si>
    <t>TASK-44</t>
  </si>
  <si>
    <t>Cấu hình Logic Vận Chuyển (Shipping Zones &amp; Rates): Cài đặt phí vận chuyển tiêu chuẩn, hỏa tốc và miễn phí vận chuyển (Freeship) cho đơn từ 500.000đ.</t>
  </si>
  <si>
    <t>Giỏ hàng tự động tính đúng phí vận chuyển tương ứng theo địa chỉ nhận hàng và giá trị đơn.</t>
  </si>
  <si>
    <t>Đang review</t>
  </si>
  <si>
    <t>L06-G5-01</t>
  </si>
  <si>
    <t>Chuyển thành task G5 cấu hình Shipping Zones &amp; Rates của luồng Vận chuyển L06</t>
  </si>
  <si>
    <t>TASK-45</t>
  </si>
  <si>
    <t>Xây dựng Bộ lọc Ajax đa tiêu chí: Cho phép lọc đồng thời theo Loại da, Vấn đề da, Mức giá và Thương hiệu mà không cần tải lại trang web.</t>
  </si>
  <si>
    <t>Bộ lọc phản hồi tức thì (&lt; 200ms); URL tự cập nhật query params để khách có thể copy link chia sẻ.</t>
  </si>
  <si>
    <t>L02-G5-04</t>
  </si>
  <si>
    <t>Chuyển thành task G5 xây dựng Bộ lọc Ajax đa tiêu chí của luồng Catalog L02</t>
  </si>
  <si>
    <t>TASK-46</t>
  </si>
  <si>
    <t>Lập trình Màn hình Kết Quả Routine Cá Nhân Hóa: Hiển thị phân tích tình trạng da, danh sách 3 - 4 bước kèm hình ảnh, giá bán và lý do gợi ý.</t>
  </si>
  <si>
    <t>Màn hình Routine hiển thị sinh động, chuẩn Responsive, có nút Thêm cả Routine vào giỏ.</t>
  </si>
  <si>
    <t>L01-G5-08</t>
  </si>
  <si>
    <t>Chuyển thành task G5 lập trình Màn hình Kết Quả Routine của luồng Quiz L01</t>
  </si>
  <si>
    <t>TASK-47</t>
  </si>
  <si>
    <t>Thực thi toàn bộ Ma trận kiểm thử Quiz trên phiên bản tích hợp; Ghi nhận và báo cáo lỗi hiển thị hoặc logic gợi ý sai lệch phác đồ da.</t>
  </si>
  <si>
    <t>100% tổ hợp Quiz test thành công; không có trường hợp nào bị trả về kết quả trang trắng.</t>
  </si>
  <si>
    <t>L01-G7-02</t>
  </si>
  <si>
    <t>Chuyển thành task G7 thực thi Quiz Test Matrix trên bản tích hợp của luồng Quiz L01</t>
  </si>
  <si>
    <t>TASK-48</t>
  </si>
  <si>
    <t>L03-G1-01</t>
  </si>
  <si>
    <t>Cấu hình và kích hoạt WooCommerce HPOS (High-Performance Order Storage): Chuyển đổi lưu trữ đơn hàng từ bảng wp_posts sang các bảng chuyên biệt.</t>
  </si>
  <si>
    <t>HPOS kích hoạt thành công ở chế độ lưu trữ chuyên biệt (Custom Tables), không gặp lỗi đồng bộ.</t>
  </si>
  <si>
    <t>L05-G5-03</t>
  </si>
  <si>
    <t>Viết Flow Card luồng Giỏ hàng và tính năng giảm 15% Combo Routine</t>
  </si>
  <si>
    <t>Chuyển thành task G5 cấu hình &amp; kích hoạt WooCommerce HPOS của luồng Xử lý đơn L05 (Rubric 5.3)</t>
  </si>
  <si>
    <t>Đặc tả chi tiết Flow Card cho Giỏ hàng tại docs/flows/L03-cart-combo/flow-card.md, cơ chế thêm 1-click Routine và kiểm tra xung đột hoạt chất.</t>
  </si>
  <si>
    <t>Quy tắc kinh doanh Combo Skincare từ PO</t>
  </si>
  <si>
    <t>File docs/flows/L03-cart-combo/flow-card.md hoàn chỉnh</t>
  </si>
  <si>
    <t>Flow Card nêu rõ công thức tự động trừ 15% khi đủ 3-4 bước Routine và cảnh báo xung đột AHA/Retinol.</t>
  </si>
  <si>
    <t>TASK-49</t>
  </si>
  <si>
    <t>Kiểm thử tính đúng đắn của đề xuất Routine với các ca lâm sàng giả lập (VD: Da dầu mụn ẩn, Da khô nhạy cảm); Tinh chỉnh văn phong câu hỏi Quiz.</t>
  </si>
  <si>
    <t>Bảng nghiệm thu kết quả Quiz: 20 kịch bản test trả về đúng phác đồ khoa học da liễu.</t>
  </si>
  <si>
    <t>L01-G8-01</t>
  </si>
  <si>
    <t>Chuyển thành task G8 nghiệm thu Quiz 20 ca lâm sàng của luồng Quiz L01</t>
  </si>
  <si>
    <t>TASK-50</t>
  </si>
  <si>
    <t>Điều phối việc ghép nối giữa Frontend Quiz và Backend Quiz API; Giải quyết các vấn đề liên quan đến CORS, kiểm tra tính toàn vẹn dữ liệu JSON.</t>
  </si>
  <si>
    <t>Nhánh develop hoạt động ổn định, không có xung đột giữa Frontend và Backend.</t>
  </si>
  <si>
    <t>L01-G6-01</t>
  </si>
  <si>
    <t>Chuyển thành task G6 ghép nối Frontend &amp; Backend Quiz, review PR của luồng Quiz L01</t>
  </si>
  <si>
    <t>TASK-51</t>
  </si>
  <si>
    <t>Đăng ký REST API Endpoint chính thức: POST /wp-json/unisex-quiz/v1/recommend; Thiết lập quyền truy cập public (permission_callback) và sanitize payload.</t>
  </si>
  <si>
    <t>API endpoint trả dữ liệu JSON hợp lệ qua Postman với mã phản hồi HTTP 200 OK trong &lt; 300ms.</t>
  </si>
  <si>
    <t>L01-G5-09</t>
  </si>
  <si>
    <t>Chuyển thành task G5 đăng ký REST API Endpoint Quiz của luồng Quiz L01</t>
  </si>
  <si>
    <t>TASK-52</t>
  </si>
  <si>
    <t>Khởi tạo WooCommerce REST API v3: Thiết lập Consumer Key và Consumer Secret; Cấp quyền Read/Write để chuẩn bị kịch bản tự động hóa Rubric 5.6.</t>
  </si>
  <si>
    <t>Cặp khóa API được lưu trữ an toàn; kết nối thành công và xác thực hợp lệ qua Postman.</t>
  </si>
  <si>
    <t>L10-G5-01</t>
  </si>
  <si>
    <t>Chuyển thành task G5 khởi tạo WooCommerce REST API v3 key của luồng Tự động hóa L10 (Rubric 5.6)</t>
  </si>
  <si>
    <t>Cấu hình COD chuẩn WooCommerce; Tích hợp BACS VietQR tự sinh mã theo số tiền và cú pháp đơn hàng.</t>
  </si>
  <si>
    <t>TASK-53</t>
  </si>
  <si>
    <t>Lập trình Trang chi tiết sản phẩm (Single Product Page): Gallery ảnh trượt (Slider), giá khuyến mãi, bảng thành phần chi tiết, đánh giá sao.</t>
  </si>
  <si>
    <t>Template single-product.php đạt chuẩn UX, tự động hiển thị đúng 3 Custom Taxonomies.</t>
  </si>
  <si>
    <t>L02-G5-05</t>
  </si>
  <si>
    <t>Chuyển thành task G5 lập trình Trang chi tiết sản phẩm single-product.php của luồng Catalog L02</t>
  </si>
  <si>
    <t>TASK-54</t>
  </si>
  <si>
    <t>Lập trình tính năng '1-Click Add Routine to Cart': Gọi AJAX đồng thời thêm toàn bộ 3 - 4 sản phẩm trong Routine vào giỏ hàng WooCommerce.</t>
  </si>
  <si>
    <t>Thêm đủ và đúng sản phẩm vào giỏ chỉ trong 1 lần click; hiển thị thông báo thành công mượt mà.</t>
  </si>
  <si>
    <t>L03-G5-01</t>
  </si>
  <si>
    <t>Chuyển thành task G5 lập trình 1-Click Add Routine to Cart AJAX của luồng Giỏ hàng L03</t>
  </si>
  <si>
    <t>TASK-55</t>
  </si>
  <si>
    <t>Cài đặt và làm quen với công cụ Web Automation: Selenium IDE trên trình duyệt và Selenium WebDriver (Python/NodeJS); Xác định locator các phần tử.</t>
  </si>
  <si>
    <t>Bảng tổng hợp bộ định vị (Locators Map) các nút bấm và trường nhập liệu cần tự động hóa.</t>
  </si>
  <si>
    <t>L10-G1-02</t>
  </si>
  <si>
    <t>Chuyển thành task G1 lập Locators Map Selenium của luồng Tự động hóa L10 (Rubric 5.5)</t>
  </si>
  <si>
    <t>L05-G1-01</t>
  </si>
  <si>
    <t>Viết Flow Card vòng đời xử lý đơn hàng và lưu trữ HPOS</t>
  </si>
  <si>
    <t>Đặc tả Flow Card tại docs/flows/L05-order-processing/flow-card.md cho vòng đời đơn từ Chờ thanh toán -&gt; Đang xử lý -&gt; Sẵn sàng giao, kiến trúc bảng HPOS.</t>
  </si>
  <si>
    <t>Tài liệu kỹ thuật WooCommerce HPOS và cấu trúc CSDL</t>
  </si>
  <si>
    <t>File docs/flows/L05-order-processing/flow-card.md hoàn chỉnh</t>
  </si>
  <si>
    <t>Thiết kế hệ thống TMDT/Minh Trí/</t>
  </si>
  <si>
    <t>Flow Card xác định rõ 5 trạng thái đơn chuẩn, cơ chế trừ kho tự động và trigger gửi email hóa đơn.</t>
  </si>
  <si>
    <t>TASK-56</t>
  </si>
  <si>
    <t>Tích hợp Redis Object Cache: Cài đặt và cấu hình plugin Redis Object Cache; Kiểm tra trạng thái kết nối và đo lường số lượng SQL queries giảm thiểu.</t>
  </si>
  <si>
    <t>Trạng thái Redis Object Cache báo 'Connected'; số lượng queries tải trang giảm &gt;= 40%.</t>
  </si>
  <si>
    <t>L09-G5-04</t>
  </si>
  <si>
    <t>Chuyển thành task G5 kích hoạt Redis Object Cache Connected của luồng Hạ tầng L09 (Rubric 5.3)</t>
  </si>
  <si>
    <t>TASK-57</t>
  </si>
  <si>
    <t>Soạn thảo quy chế bán hàng: Chính sách đổi trả 7 ngày, quy định bảo mật thông tin, chính sách vận chuyển và cam kết mỹ phẩm chính hãng 100%.</t>
  </si>
  <si>
    <t>4 trang chính sách hoàn chỉnh trên web (Return, Privacy, Terms, Shipping) chuẩn luật TMĐT.</t>
  </si>
  <si>
    <t>L07-G1-01</t>
  </si>
  <si>
    <t>Chuyển thành task G1 soạn thảo quy chế bán hàng &amp; chính sách đổi trả 7 ngày của luồng Đổi trả L07</t>
  </si>
  <si>
    <t>TASK-58</t>
  </si>
  <si>
    <t>Mua domain chính thức (VD: unisex-skincare.site); Cấu hình Cloudflare DNS; Cài đặt chứng chỉ SSL Let's Encrypt (HTTPS); Triển khai lên Cloud VPS.</t>
  </si>
  <si>
    <t>Website chạy công khai trên domain thật với giao thức HTTPS an toàn, đạt chuẩn Rubric 5.1.</t>
  </si>
  <si>
    <t>L09-G5-05</t>
  </si>
  <si>
    <t>Chuyển thành task G5 mua domain &amp; deploy VPS HTTPS của luồng Hạ tầng L09 (Rubric 5.1)</t>
  </si>
  <si>
    <t>TASK-59</t>
  </si>
  <si>
    <t>Xây dựng Cơ chế Fallback an toàn (Safe Fallback Mechanism): Nếu thuật toán không tìm thấy sản phẩm hoàn hảo, tự động gợi ý bộ sản phẩm dịu nhẹ.</t>
  </si>
  <si>
    <t>100% các tổ hợp câu trả lời ngẫu nhiên đều nhận được kết quả Routine hợp lệ, không trả về rỗng.</t>
  </si>
  <si>
    <t>L01-G5-10</t>
  </si>
  <si>
    <t>Thiết kế hệ thống TMDT/Thảo Uyên/</t>
  </si>
  <si>
    <t>Chuyển thành task G5 xây dựng Safe Fallback Mechanism của luồng Quiz L01</t>
  </si>
  <si>
    <t>TASK-60</t>
  </si>
  <si>
    <t>Xây dựng kịch bản gọi WooCommerce REST API thực thi 3 nghiệp vụ tự động (Rubric 5.6): Cập nhật đơn -&gt; Đã hoàn thành, Xóa sản phẩm mẫu, Sửa tồn kho.</t>
  </si>
  <si>
    <t>Postman Collection hoàn chỉnh, cả 3 API đều trả về HTTP 200/201 kèm dữ liệu đã cập nhật.</t>
  </si>
  <si>
    <t>L10-G5-02</t>
  </si>
  <si>
    <t>Chuyển thành task G5 kịch bản Postman REST API 3 tác vụ của luồng Tự động hóa L10 (Rubric 5.6)</t>
  </si>
  <si>
    <t>TASK-61</t>
  </si>
  <si>
    <t>Tối ưu hóa hiển thị Responsive trên toàn bộ kích thước màn hình (Mobile, Tablet, Desktop); Kiểm tra độ tương phản màu sắc và kích thước font chữ.</t>
  </si>
  <si>
    <t>100% trang giao diện vượt qua bài test Mobile-Friendly của Google, không vỡ layout.</t>
  </si>
  <si>
    <t>L02-G5-06</t>
  </si>
  <si>
    <t>Chuyển thành task G5 tối ưu Responsive Mobile Friendly của luồng Catalog L02</t>
  </si>
  <si>
    <t>TASK-62</t>
  </si>
  <si>
    <t>Tối ưu hóa trải nghiệm trang Giỏ hàng (Cart) và Thanh toán (Checkout): Tinh gọn form nhập liệu, thêm tính năng tự động điền địa chỉ.</t>
  </si>
  <si>
    <t>Form Checkout tinh giản, giảm 40% số trường nhập dư thừa, tỷ lệ bỏ rơi giỏ hàng giảm.</t>
  </si>
  <si>
    <t>L03-G5-02</t>
  </si>
  <si>
    <t>25 Test Case</t>
  </si>
  <si>
    <t>Chuyển thành task G5 tối ưu hóa trải nghiệm Cart &amp; Checkout UX của luồng Giỏ hàng L03</t>
  </si>
  <si>
    <t>TASK-63</t>
  </si>
  <si>
    <t>Lập trình Script Selenium Web Automation hoàn chỉnh (Rubric 5.5) thực hiện tự động 3 tác vụ trên trình duyệt: Chuyển trạng thái đơn, Xóa SP, Sửa kho.</t>
  </si>
  <si>
    <t>File kịch bản Selenium (file .side hoặc code Python) tự động mở trình duyệt và thực thi 3 tác vụ.</t>
  </si>
  <si>
    <t>L10-G5-03</t>
  </si>
  <si>
    <t>Chuyển thành task G5 lập trình Selenium script 3 tác vụ của luồng Tự động hóa L10 (Rubric 5.5)</t>
  </si>
  <si>
    <t>TASK-64</t>
  </si>
  <si>
    <t>Lập trình tính năng Khuyến mãi Routine Thông minh (Dynamic Routine Bundle Discount): Tự động giảm giá 10% khi khách hàng mua trọn bộ Routine.</t>
  </si>
  <si>
    <t>Hệ thống tự động trừ tiền chiết khấu combo vào tổng đơn hàng, hiển thị rõ số tiền tiết kiệm.</t>
  </si>
  <si>
    <t>L03-G5-03</t>
  </si>
  <si>
    <t>Chuyển thành task G5 lập trình giảm giá 10% Combo Routine của luồng Giỏ hàng L03</t>
  </si>
  <si>
    <t>TASK-65</t>
  </si>
  <si>
    <t>Rà soát toàn bộ luồng mua hàng và kiểm tra tính thẩm mỹ của nội dung sản phẩm; Nghiệm thu tính chính xác của các quy tắc tính tiền.</t>
  </si>
  <si>
    <t>Biên bản nghiệm thu nghiệp vụ nội bộ, xác nhận website sẵn sàng phục vụ khách hàng thật.</t>
  </si>
  <si>
    <t>L04-G8-01</t>
  </si>
  <si>
    <t>Chuyển thành task G8 nghiệm thu luồng mua hàng &amp; thanh toán thực tế của luồng Checkout L04 (Rubric 5.2)</t>
  </si>
  <si>
    <t>L01-G3-01</t>
  </si>
  <si>
    <t>TASK-66</t>
  </si>
  <si>
    <t>Phê duyệt nghiệp vụ và kỹ thuật luồng Quiz chẩn đoán da L01</t>
  </si>
  <si>
    <t>Rà soát tính nhất quán giữa Flow Card, ma trận trọng số và sơ đồ luồng Quiz để cấp quyền chuyển sang cổng Prompt Agent.</t>
  </si>
  <si>
    <t>Hỗ trợ QA chạy Selenium script và Integration Dev chạy REST API trên VPS; Thực hiện Load Testing hệ thống với kịch bản 50 người dùng đồng thời.</t>
  </si>
  <si>
    <t>Flow Card L01, Quiz Flowchart và ma trận câu hỏi</t>
  </si>
  <si>
    <t>Báo cáo Load Test: Website chịu tải 50 users đồng thời ổn định, không sập server, CPU &lt; 70%.</t>
  </si>
  <si>
    <t>Biên bản phê duyệt G3 tại docs/flows/L01-quiz-routine/approval.md</t>
  </si>
  <si>
    <t>L09-G7-01</t>
  </si>
  <si>
    <t>Chuyển thành task G7 Load Test 50 users trên VPS thật của luồng Hạ tầng L09 (Rubric 5.1)</t>
  </si>
  <si>
    <t>PO Phát và SM An xác nhận đạt 8/8 tiêu chí DoR, trạng thái luồng L01 chuyển thành SẴN SÀNG PROMPT.</t>
  </si>
  <si>
    <t>TASK-67</t>
  </si>
  <si>
    <t>Tối ưu hóa truy vấn SQL: Đặt chỉ mục (Index) thích hợp cho các trường dữ liệu hay tìm kiếm trong Custom Taxonomies; Đo lường thời gian đáp ứng API.</t>
  </si>
  <si>
    <t>Số lượng câu truy vấn database giảm từ 15 xuống 4; thời gian phản hồi API luôn &lt; 300ms.</t>
  </si>
  <si>
    <t>L09-G5-06</t>
  </si>
  <si>
    <t>Chuyển thành task G5 tối ưu hóa SQL index latency &lt; 300ms của luồng Hạ tầng L09 (Rubric 5.3)</t>
  </si>
  <si>
    <t>TASK-68</t>
  </si>
  <si>
    <t>L01-G1-03</t>
  </si>
  <si>
    <t>Viết script độc lập bằng Python (thư viện requests) thực thi 3 nghiệp vụ qua REST API (Rubric 5.6), ghi log kết quả thực thi và mã trạng thái HTTP.</t>
  </si>
  <si>
    <t>Script Python chạy tự động hoàn thành cả 3 tác vụ và in log chi tiết với mã HTTP 200/201.</t>
  </si>
  <si>
    <t>L10-G5-04</t>
  </si>
  <si>
    <t>Chuyển thành task G5 script Python gọi REST API 3 tác vụ của luồng Tự động hóa L10 (Rubric 5.6)</t>
  </si>
  <si>
    <t>TASK-69</t>
  </si>
  <si>
    <t>Tối ưu Core Web Vitals giao diện: Tích hợp lazy loading cho toàn bộ ảnh, nén CSS/JS, tối ưu font tải bất đồng bộ để tăng tốc độ tải trang.</t>
  </si>
  <si>
    <t>Điểm Google Lighthouse Performance cho giao diện đạt &gt;= 85 (Desktop) và &gt;= 75 (Mobile).</t>
  </si>
  <si>
    <t>L02-G5-07</t>
  </si>
  <si>
    <t>Chuyển thành task G5 tối ưu Core Web Vitals Lighthouse &gt;= 85/75 của luồng Catalog L02</t>
  </si>
  <si>
    <t>TASK-70</t>
  </si>
  <si>
    <t>Kiểm thử trải nghiệm Quiz trên nhiều dòng điện thoại (iOS Safari, Android Chrome); Tinh chỉnh hiệu ứng trượt màn hình mượt mà không bị giật lag.</t>
  </si>
  <si>
    <t>100% người dùng thử nghiệm hoàn thành bài Quiz trên điện thoại mà không gặp trở ngại tương tác.</t>
  </si>
  <si>
    <t>L01-G7-03</t>
  </si>
  <si>
    <t>Chuyển thành task G7 kiểm thử UX Quiz trên mobile thực tế của luồng Quiz L01</t>
  </si>
  <si>
    <t>Lập trình SPA Quiz Frontend bằng HTML5 semantic và Vanilla JS</t>
  </si>
  <si>
    <t>Dựng template HTML5 và viết script SPA Quiz Vanilla JS không reload trang, lưu state tạm vào LocalStorage/State.</t>
  </si>
  <si>
    <t>[TỰ VẼ TỰ CODE] Lấy từ bản vẽ L01-G2-01 của chính mình</t>
  </si>
  <si>
    <t>TASK-71</t>
  </si>
  <si>
    <t>Vanilla JS SPA; 100% không reload trang; Fetch API gửi answers sang backend; Render Routine kết quả responsive mobile-first.</t>
  </si>
  <si>
    <t>Template tĩnh hoàn chỉnh và Quiz hoạt động 100% không reload trang; thanh tiến trình cập nhật mượt mà.</t>
  </si>
  <si>
    <t>Thực thi kiểm thử hồi quy (Regression Testing) trên môi trường VPS thật; Chạy kiểm thử tự động Selenium 5 lần liên tiếp để đảm bảo tính ổn định.</t>
  </si>
  <si>
    <t>Tỷ lệ chạy thành công của script Selenium đạt 5/5 lần (100% pass), không bị lỗi định vị phần tử.</t>
  </si>
  <si>
    <t>L10-G7-01</t>
  </si>
  <si>
    <t>Chuyển thành task G7 regression test Selenium 5/5 pass của luồng Tự động hóa L10 (Rubric 5.5)</t>
  </si>
  <si>
    <t>TASK-72</t>
  </si>
  <si>
    <t>Lập trình tính năng Cảnh báo Xung đột Hoạt chất (Ingredient Conflict Warning): Phát hiện nếu khách chọn 2 sản phẩm kỵ nhau (AHA/BHA với Retinol).</t>
  </si>
  <si>
    <t>Tính năng cảnh báo hoạt động chính xác khi giỏ hàng xuất hiện 2 hoạt chất xung đột.</t>
  </si>
  <si>
    <t>L03-G5-04</t>
  </si>
  <si>
    <t>Chuyển thành task G5 lập trình cảnh báo xung đột hoạt chất của luồng Giỏ hàng L03</t>
  </si>
  <si>
    <t>TASK-73</t>
  </si>
  <si>
    <t>Tổng hợp toàn bộ các chương của báo cáo Word, rà soát chính tả, chuẩn hóa trích dẫn; Thiết kế Slide thuyết trình chuyên nghiệp cho buổi bảo vệ.</t>
  </si>
  <si>
    <t>File Báo cáo Word cuối kỳ hoàn chỉnh; Slide thuyết trình PowerPoint đạt tính thẩm mỹ cao.</t>
  </si>
  <si>
    <t>L00-G8-01</t>
  </si>
  <si>
    <t>Chuyển thành task G8 tổng hợp báo cáo Word cuối kỳ &amp; slide của luồng Quản trị L00</t>
  </si>
  <si>
    <t>TASK-22, TASK-30</t>
  </si>
  <si>
    <t>TASK-74</t>
  </si>
  <si>
    <t>Tổ chức tổng duyệt Demo Day; chuẩn bị kịch bản phòng ngừa rủi ro (Backup Plan) nếu mạng trường chập chờn; Quay sẵn video demo dự phòng 4K.</t>
  </si>
  <si>
    <t>Video demo backup 4K sẵn sàng; buổi báo cáo thử nghiệm diễn ra thành công trọn vẹn.</t>
  </si>
  <si>
    <t>L00-G8-02</t>
  </si>
  <si>
    <t>Chuyển thành task G8 tổng duyệt Demo Day &amp; video backup 4K của luồng Quản trị L00</t>
  </si>
  <si>
    <t>TASK-75</t>
  </si>
  <si>
    <t>Viết tài liệu đặc tả API theo chuẩn OpenAPI/Swagger hoặc Postman Documentation cho endpoint gợi ý Routine; Hướng dẫn tích hợp cho bên thứ ba.</t>
  </si>
  <si>
    <t>Tài liệu API chi tiết, rõ ràng, chứng minh tính độc lập và khả năng mở rộng của module.</t>
  </si>
  <si>
    <t>L10-G8-01</t>
  </si>
  <si>
    <t>Chuyển thành task G8 đặc tả API OpenAPI/Swagger của luồng Tự động hóa L10 (Rubric 5.6)</t>
  </si>
  <si>
    <t>Soạn thảo Ma trận Kiểm thử Quiz và thực thi kiểm thử trên bản tích hợp</t>
  </si>
  <si>
    <t>Liệt kê 30 ca kiểm thử Quiz và thực thi toàn bộ Ma trận kiểm thử trên phiên bản tích hợp giữa Frontend và Backend.</t>
  </si>
  <si>
    <t>TASK-76</t>
  </si>
  <si>
    <t>Viết mục báo cáo về Cổng thanh toán (Mục 5.2/TH3) và Tích hợp REST API độc lập (Mục 5.6); Đính kèm hình ảnh giao dịch và bằng chứng mã code.</t>
  </si>
  <si>
    <t>Bảng Ma trận kiểm thử Quiz gồm ít nhất 30 ca; 100% tổ hợp Quiz test thành công, không bị lỗi trang trắng.</t>
  </si>
  <si>
    <t>Mục 5.6 trong báo cáo có đủ hình ảnh chụp màn hình Postman và code Python minh chứng Rubric.</t>
  </si>
  <si>
    <t>L04-G8-02</t>
  </si>
  <si>
    <t>Chuyển thành task G8 viết báo cáo Cổng thanh toán (5.2) &amp; REST (5.6) của luồng Checkout L04</t>
  </si>
  <si>
    <t>TASK-77</t>
  </si>
  <si>
    <t>Tiếp nhận và xử lý triệt để danh sách UI bugs do QA bàn giao; Đóng gói mã nguồn Theme, xóa bỏ toàn bộ CSS/JS rác không sử dụng.</t>
  </si>
  <si>
    <t>Toàn bộ GitHub Issues về giao diện được đóng; Theme đạt chuẩn Clean Code và không lỗi console.</t>
  </si>
  <si>
    <t>L02-G8-01</t>
  </si>
  <si>
    <t>Chuyển thành task G8 fix triệt để UI bugs GitHub Issues của luồng Catalog L02</t>
  </si>
  <si>
    <t>TASK-78</t>
  </si>
  <si>
    <t>TASK-23, TASK-47</t>
  </si>
  <si>
    <t>Hoàn thiện mã nguồn JS Quiz, đóng gói thành module sạch sẽ; Viết tài liệu hướng dẫn cấu hình câu hỏi và tùy biến giao diện trong Báo cáo.</t>
  </si>
  <si>
    <t>Mã nguồn JavaScript không có lỗi runtime; tài liệu giải thích cơ chế SPA được bổ sung vào Báo cáo.</t>
  </si>
  <si>
    <t>L01-G8-02</t>
  </si>
  <si>
    <t>Chuyển thành task G8 hoàn thiện JS Quiz, tối ưu production bundle của luồng Quiz L01</t>
  </si>
  <si>
    <r>
      <rPr>
        <color rgb="FF1155CC"/>
        <u/>
      </rPr>
      <t>ma trận kiểm thử Quiz</t>
    </r>
    <r>
      <rPr/>
      <t xml:space="preserve"> </t>
    </r>
  </si>
  <si>
    <t>TASK-79</t>
  </si>
  <si>
    <t>Lập Báo cáo Tổng kết Kiểm thử (Final QA Report) đóng góp vào phụ lục Báo cáo môn học: Bảng thống kê số lượng lỗi theo Severity, biểu đồ fix bug.</t>
  </si>
  <si>
    <t>Báo cáo QA đầy đủ số liệu lỗi và biểu đồ chứng minh chất lượng kiểm thử của đồ án.</t>
  </si>
  <si>
    <t>L10-G8-02</t>
  </si>
  <si>
    <t>Chuyển thành task G8 Final QA Report của luồng Tự động hóa L10</t>
  </si>
  <si>
    <t>TASK-80</t>
  </si>
  <si>
    <t>Đóng gói toàn bộ mã nguồn script Crawler vào repository kèm requirements.txt; Viết mục báo cáo kỹ thuật về Web Crawler (Mục 5.4) và Tối ưu HPOS/Redis.</t>
  </si>
  <si>
    <t>Mục 5.4 trong báo cáo đầy đủ mã nguồn, hình ảnh minh chứng quá trình cào dữ liệu đúng Rubric.</t>
  </si>
  <si>
    <t>L08-G8-01</t>
  </si>
  <si>
    <t>Chuyển thành task G8 đóng gói script Crawler repo &amp; báo cáo 5.4 của luồng Dữ liệu L08 (Rubric 5.4)</t>
  </si>
  <si>
    <t>[TỰ THIẾT KẾ TỰ CODE] Dựa trên Figma Design Tokens của chính mình</t>
  </si>
  <si>
    <t>Chuẩn PSR-12; Pure PHP/CSS BEM; Không dùng Elementor; Ajax filter dùng wp_ajax_ &amp; taxonomy; Mobile-first; Điểm Lighthouse &gt;= 80.</t>
  </si>
  <si>
    <t>L03-G2-01</t>
  </si>
  <si>
    <t>Vẽ sơ đồ Activity diagram quy trình thêm vào giỏ và tính chiết khấu Combo</t>
  </si>
  <si>
    <t>Vẽ sơ đồ Activity bằng draw.io tại docs/flows/L03-cart-combo/activity.drawio thể hiện luồng thêm 1-click Routine và kiểm tra điều kiện áp dụng giảm giá 15%.</t>
  </si>
  <si>
    <t>Flow Card L03 và công thức chiết khấu</t>
  </si>
  <si>
    <t>File docs/flows/L03-cart-combo/activity.drawio + PNG</t>
  </si>
  <si>
    <t>[NGƯỜI VẼ] L03_Cart_Combo_Discount_Activity.drawio</t>
  </si>
  <si>
    <t>Sơ đồ Activity luồng 1-click thêm routine; rẽ nhánh giảm 15%; bắt xung đột Retinol/AHA; Bắt buộc lưu file .drawio gốc, cấm up ảnh.</t>
  </si>
  <si>
    <t>Có đầy đủ nhánh kiểm tra số lượng SP trong routine, nhánh cảnh báo xung đột thành phần và hiển thị giá tiết kiệm.</t>
  </si>
  <si>
    <t>L04-G2-01</t>
  </si>
  <si>
    <t>Vẽ Sequence diagram quy trình thanh toán trực tuyến qua cổng VNPay Sandbox</t>
  </si>
  <si>
    <t>Vẽ Sequence diagram bằng Mermaid tại docs/flows/L04-checkout-payment/sequence.md thể hiện các bước gửi request tạo URL thanh toán, redirect và nhận IPN callback.</t>
  </si>
  <si>
    <t>Flow Card L04 và tài liệu API VNPay</t>
  </si>
  <si>
    <t>File docs/flows/L04-checkout-payment/sequence.md</t>
  </si>
  <si>
    <t>[NGƯỜI VẼ] L04_Checkout_VNPay_Sequence.drawio</t>
  </si>
  <si>
    <t>Sequence diagram tạo URL thanh toán, tính chữ ký SHA512, redirect VNPay Sandbox và nhận IPN callback; Up file .drawio gốc.</t>
  </si>
  <si>
    <t>Sơ đồ thể hiện đầy đủ kiểm tra mã băm checksum SHA512, cập nhật trạng thái đơn Đang xử lý và xử lý hủy giao dịch.</t>
  </si>
  <si>
    <t>[TỰ VẼ TỰ CODE] Lấy từ bản vẽ L04-G2-01 của chính mình</t>
  </si>
  <si>
    <t>Kế thừa WC_Payment_Gateway; Chữ ký SHA512; Secret key đặt tại wp-config; Validate IPN callback; Cấm lưu số thẻ thô.</t>
  </si>
  <si>
    <t>Soạn Prompt cho AI agent sinh mã nguồn Quiz Engine và weighted matching L01</t>
  </si>
  <si>
    <t>Áp dụng Mẫu Prompt chuẩn viết prompt yêu cầu AI agent sinh class Quiz_Engine xử lý tính điểm weighted tag matching và REST endpoint.</t>
  </si>
  <si>
    <t>Flow Card L01, Quiz Decision Matrix và sơ đồ luồng</t>
  </si>
  <si>
    <t>Prompt hoàn chỉnh được ghi vào tab Prompt Log với mã PRM-L01-01</t>
  </si>
  <si>
    <t>[CODE NHẬN BẢN VẼ] Lấy file L01_Quiz_Logic_Flowchart.drawio (từ task L01-G2-01 của Huỳnh Ngọc Nhã Uyên)</t>
  </si>
  <si>
    <t>WordPress REST API Controller; Check nonce CSRF; Endpoint /wp-json/unisex-quiz/v1/recommend; Thuật toán weighted matching; Trả JSON 4 bước chuẩn; Cơ chế Safe Fallback khi rỗng.</t>
  </si>
  <si>
    <t>Prompt nêu rõ tên class, phương thức calculate_routine(), bảng meta liên quan và 5 ca test Given-When-Then.</t>
  </si>
  <si>
    <t>Thiết kế cấu trúc câu hỏi và lập trình thuật toán Weighted Tag Matching</t>
  </si>
  <si>
    <t>Định nghĩa mảng câu hỏi, ánh xạ trọng số điểm với 3 Custom Taxonomies và lập trình hàm tính điểm xếp hạng.</t>
  </si>
  <si>
    <t>Module cấu hình câu hỏi hoạt động và hàm thuật toán đạt độ chính xác 100% so với Ma trận trọng số do PO cung cấp.</t>
  </si>
  <si>
    <t>TASK-27, TASK-35</t>
  </si>
  <si>
    <t>L02-G3-01</t>
  </si>
  <si>
    <t>Phê duyệt nghiệp vụ Flow Card và Wireframe giao diện Catalog L02</t>
  </si>
  <si>
    <t>Nghiệm thu thiết kế giao diện danh mục, bộ lọc và trang chi tiết sản phẩm; kiểm tra đáp ứng tiêu chuẩn Responsive Mobile-first.</t>
  </si>
  <si>
    <t>Flow Card L02 và Figma Mockup</t>
  </si>
  <si>
    <t>Biên bản phê duyệt G3 tại docs/flows/L02-catalog-product/approval.md</t>
  </si>
  <si>
    <t>Thiết kế hệ thống TMDT/Tấn Phát/</t>
  </si>
  <si>
    <t>PO Phát và SM An xác nhận đạt 8/8 tiêu chí DoR, chuyển trạng thái luồng L02 sang SẴN SÀNG PROMPT.</t>
  </si>
  <si>
    <t>L02-G2-02</t>
  </si>
  <si>
    <t>L02-G4-01</t>
  </si>
  <si>
    <t>Soạn Prompt cho AI agent sinh mã nguồn template Catalog và Ajax Filter L02</t>
  </si>
  <si>
    <t>Áp dụng Mẫu Prompt chuẩn để yêu cầu AI agent sinh mã nguồn template archive-product.php và script xử lý Ajax Filter theo Taxonomy.</t>
  </si>
  <si>
    <t>Flow Card L02 và Sequence diagram đã được phê duyệt G3</t>
  </si>
  <si>
    <t>Prompt hoàn chỉnh được ghi vào tab Prompt Log với mã PRM-L02-01</t>
  </si>
  <si>
    <t>Prompt chứa đủ 5 tiêu chí chấp nhận Given-When-Then, đường dẫn file chính xác và ràng buộc không dùng Elementor.</t>
  </si>
  <si>
    <t>MẪU PROMPT LOG: PRM-L02-01</t>
  </si>
  <si>
    <t>L03-G3-01</t>
  </si>
  <si>
    <t>Phê duyệt Flow Card và kịch bản giảm giá Combo Routine L03</t>
  </si>
  <si>
    <t>Rà soát quy tắc nghiệp vụ tự động giảm 15% khi mua trọn bộ và thuật toán phát hiện xung đột hoạt chất chăm sóc da.</t>
  </si>
  <si>
    <t>Flow Card L03 và sơ đồ Activity diagram</t>
  </si>
  <si>
    <t>Biên bản phê duyệt G3 tại docs/flows/L03-cart-combo/approval.md</t>
  </si>
  <si>
    <t>PO Phát và SM An xác nhận đạt 8/8 tiêu chí DoR, chuyển trạng thái luồng L03 sang SẴN SÀNG PROMPT.</t>
  </si>
  <si>
    <t>L04-G3-01</t>
  </si>
  <si>
    <t>Phê duyệt kỹ thuật luồng Checkout và phương thức thanh toán VNPay L04</t>
  </si>
  <si>
    <t>Nghiệm thu kiến trúc bảo mật giao dịch, kiểm tra định dạng chữ ký số SHA512 và kịch bản redirect của cổng thanh toán.</t>
  </si>
  <si>
    <t>Flow Card L04 và Sequence diagram VNPay</t>
  </si>
  <si>
    <t>Biên bản phê duyệt G3 tại docs/flows/L04-checkout-payment/approval.md</t>
  </si>
  <si>
    <t>PO Phát và SM An xác nhận đạt 8/8 tiêu chí DoR, cho phép chuyển trạng thái luồng L04 sang SẴN SÀNG PROMPT.</t>
  </si>
  <si>
    <t>L05-G2-01</t>
  </si>
  <si>
    <t>Vẽ State diagram thể hiện vòng đời đơn hàng WooCommerce HPOS</t>
  </si>
  <si>
    <t>Dùng draw.io vẽ State Machine Diagram tại docs/flows/L05-order-processing/state.drawio thể hiện các trạng thái chuyển giao của đơn hàng.</t>
  </si>
  <si>
    <t>Flow Card L05 và danh sách trạng thái đơn hàng</t>
  </si>
  <si>
    <t>File docs/flows/L05-order-processing/state.drawio + PNG</t>
  </si>
  <si>
    <t>[NGƯỜI VẼ] L05_Order_Lifecycle_State.drawio</t>
  </si>
  <si>
    <t>State Machine 5 trạng thái đơn HPOS (Pending -&gt; Processing -&gt; On-hold -&gt; Completed -&gt; Cancelled) và cơ chế trừ tồn kho tự động.</t>
  </si>
  <si>
    <t>Sơ đồ thể hiện rõ 5 trạng thái chuẩn, điều kiện kích hoạt trừ kho và điều kiện chuyển trạng thái sang Sẵn sàng giao.</t>
  </si>
  <si>
    <t>[CODE NHẬN BẢN VẼ] Lấy file L05_Order_Lifecycle_State.drawio (từ task L05-G2-01 của Nguyễn Minh Trí)</t>
  </si>
  <si>
    <t>Hook woocommerce_order_status_processing; Tự động gửi email hóa đơn HTML chuẩn responsive có mã QR tra cứu; SMTP SendGrid/Gmail.</t>
  </si>
  <si>
    <t>KLEER · L01-G1-02 · Quiz Decision Matrix</t>
  </si>
  <si>
    <t>Tích hợp Fetch API gọi REST API và lập trình màn hình kết quả Routine</t>
  </si>
  <si>
    <t>Gửi mảng câu trả lời JSON qua REST API và lập trình giao diện hiển thị Routine 3-4 bước chuẩn Responsive kèm nút Add to Cart.</t>
  </si>
  <si>
    <t>Kết nối API thành công; màn hình Routine hiển thị sinh động, chuẩn Responsive, có nút Thêm cả Routine vào giỏ.</t>
  </si>
  <si>
    <t>TASK-38, TASK-46</t>
  </si>
  <si>
    <t>L02-G7-01</t>
  </si>
  <si>
    <t>Kiểm thử chức năng Catalog sản phẩm, bộ lọc Taxonomy và trang PDP L02</t>
  </si>
  <si>
    <t>Thực thi kiểm thử toàn diện giao diện Shop, tính chính xác của bộ lọc Ajax đa tiêu chí và tốc độ tải trang trên máy trạm.</t>
  </si>
  <si>
    <t>Bản build Custom Theme trên nhánh develop</t>
  </si>
  <si>
    <t>Báo cáo kiểm thử tại docs/flows/L02-catalog-product/test-report.md</t>
  </si>
  <si>
    <t>100% test case trong Test Plan về Catalog pass; thời gian lọc Ajax &lt; 200ms; không có lỗi JavaScript console.</t>
  </si>
  <si>
    <t>L03-G4-01</t>
  </si>
  <si>
    <t>Soạn Prompt cho AI agent sinh mã nguồn tính năng 1-Click Routine to Cart L03</t>
  </si>
  <si>
    <t>Áp dụng Mẫu Prompt chuẩn viết prompt yêu cầu AI agent sinh module AJAX thêm đồng thời nhiều sản phẩm vào giỏ hàng WooCommerce.</t>
  </si>
  <si>
    <t>Flow Card L03 và Activity diagram</t>
  </si>
  <si>
    <t>Prompt hoàn chỉnh được ghi vào tab Prompt Log với mã PRM-L03-01</t>
  </si>
  <si>
    <t>Prompt nêu rõ hook woocommerce_ajax_add_to_cart, xử lý nonce CSRF và trả về mini-cart fragments cập nhật.</t>
  </si>
  <si>
    <t>L04-G4-01</t>
  </si>
  <si>
    <t>Soạn Prompt cho AI agent sinh mã nguồn Gateway VNPay Sandbox L04</t>
  </si>
  <si>
    <t>Áp dụng Mẫu Prompt chuẩn viết prompt yêu cầu AI agent sinh class mở rộng WC_Payment_Gateway cho VNPay Sandbox.</t>
  </si>
  <si>
    <t>Flow Card L04 và tài liệu chữ ký SHA512</t>
  </si>
  <si>
    <t>Prompt hoàn chỉnh được ghi vào tab Prompt Log với mã PRM-L04-01</t>
  </si>
  <si>
    <t>Prompt chỉ rõ các phương thức init_form_fields(), process_payment(), check_ipn_response() và bảo mật secret key.</t>
  </si>
  <si>
    <t>L05-G3-01</t>
  </si>
  <si>
    <t>Phê duyệt nghiệp vụ và kỹ thuật luồng Xử lý đơn hàng HPOS L05</t>
  </si>
  <si>
    <t>Rà soát cấu trúc các bảng chuyên biệt HPOS và cơ chế xử lý sự kiện hook woocommerce_order_status_changed.</t>
  </si>
  <si>
    <t>Flow Card L05 và State diagram</t>
  </si>
  <si>
    <t>Biên bản phê duyệt G3 tại docs/flows/L05-order-processing/approval.md</t>
  </si>
  <si>
    <t>PO Phát và SM An xác nhận đạt 8/8 tiêu chí DoR, chuyển trạng thái luồng L05 sang SẴN SÀNG PROMPT.</t>
  </si>
  <si>
    <t>Lập trình Routine Query Engine và đăng ký REST API Endpoint chính thức</t>
  </si>
  <si>
    <t>Truy vấn 3-4 sản phẩm đại diện theo Taxonomy và đăng ký endpoint POST /wp-json/unisex-quiz/v1/recommend.</t>
  </si>
  <si>
    <t>Trả về danh sách 3-4 sản phẩm đại diện; API endpoint trả dữ liệu JSON hợp lệ qua Postman trong &lt; 300ms.</t>
  </si>
  <si>
    <t>TASK-43, TASK-51</t>
  </si>
  <si>
    <t>L02-G6-01</t>
  </si>
  <si>
    <t>Review chéo Pull Request giao diện Catalog và tối ưu hóa CSS/JS L02</t>
  </si>
  <si>
    <t>Thực hiện peer review trên GitHub PR cho nhánh feature/theme-catalog-ui, kiểm tra tuân thủ tiêu chuẩn PSR-12 và CSS BEM.</t>
  </si>
  <si>
    <t>Pull Request của Lâm Trúc Uyên trên GitHub</t>
  </si>
  <si>
    <t>PR review comments và commit tinh chỉnh trên nhánh develop</t>
  </si>
  <si>
    <t>Ghi lại ít nhất 3 điểm đã chỉnh sửa so với bản code do AI agent sinh ra vào Prompt Log.</t>
  </si>
  <si>
    <t>L03-G6-01</t>
  </si>
  <si>
    <t>Review chéo PR tính năng Giỏ hàng và sửa lỗi UX hiển thị Combo L03</t>
  </si>
  <si>
    <t>Kiểm tra mã nguồn JavaScript của Giỏ hàng, sửa lỗi giật lag khi cập nhật số lượng và kiểm tra độ tương thích mobile.</t>
  </si>
  <si>
    <t>Pull Request của Huỳnh Ngọc Nhã Uyên trên GitHub</t>
  </si>
  <si>
    <t>PR review comments và các commit fix bugs giao diện giỏ hàng</t>
  </si>
  <si>
    <t>Ghi nhận chi tiết các điểm tùy biến giao diện so với code AI sinh ra vào Prompt Log; PR được approve.</t>
  </si>
  <si>
    <t>L05-G4-01</t>
  </si>
  <si>
    <t>Soạn Prompt cho AI agent sinh mã nguồn kích hoạt và đồng bộ HPOS L05</t>
  </si>
  <si>
    <t>Áp dụng Mẫu Prompt chuẩn viết prompt yêu cầu AI agent sinh code can thiệp cài đặt HPOS qua class Automattic\WooCommerce\Utilities\OrderUtil.</t>
  </si>
  <si>
    <t>Flow Card L05 và tài liệu kiến trúc HPOS</t>
  </si>
  <si>
    <t>Prompt hoàn chỉnh được ghi vào tab Prompt Log với mã PRM-L05-01</t>
  </si>
  <si>
    <t>Prompt yêu cầu bật cờ đồng bộ nền (background sync) và kiểm tra tương thích các extension.</t>
  </si>
  <si>
    <t>[TỰ VẼ TỰ CODE] Lấy từ bản vẽ L05-G2-01 của chính mình</t>
  </si>
  <si>
    <t>Kích hoạt HPOS qua class Automattic\\WooCommerce\\Utilities\\OrderUtil; Lưu bảng wp_wc_orders chuyên biệt; Bật cờ background sync.</t>
  </si>
  <si>
    <t>Điều phối việc ghép nối giữa Frontend Quiz và Backend Quiz API; Giải quyết các vấn đề liên quan đến CORS, kiểm tra tính toàn vẹn dữ liệu JSON (schema validation) khi truyền nhận.</t>
  </si>
  <si>
    <t>Thiết kế hệ thống TMDT/Quốc An/</t>
  </si>
  <si>
    <t>Kiểm thử tính đúng đắn của đề xuất Routine với các ca lâm sàng giả lập (VD: Da dầu mụn ẩn, Da khô nhạy cảm); Tinh chỉnh văn phong câu hỏi Quiz: Trực quan, gần gũi, chuẩn ngôn ngữ Marketing mỹ phẩm.</t>
  </si>
  <si>
    <t>[TỰ VẼ TỰ CODE] Lấy từ bản vẽ L03-G2-01 của chính mình</t>
  </si>
  <si>
    <t>Hook woocommerce_ajax_add_to_cart thêm cả routine; Cập nhật fragments mini-cart; Tinh giản form checkout.</t>
  </si>
  <si>
    <t>L03-G8-01</t>
  </si>
  <si>
    <t>Nghiệm thu trải nghiệm Giỏ hàng và tính năng giảm 15% Combo Routine L03</t>
  </si>
  <si>
    <t>Kiểm tra end-to-end hành trình từ thêm 1-click Routine từ Quiz đến khi giỏ hàng tự động giảm giá 15% và cảnh báo xung đột hoạt chất.</t>
  </si>
  <si>
    <t>Hệ thống giỏ hàng đã tích hợp trên nhánh develop</t>
  </si>
  <si>
    <t>Biên bản nghiệm thu UAT tại docs/flows/L03-cart-combo/uat-report.md</t>
  </si>
  <si>
    <t>PO Phát và SM An xác nhận giỏ hàng hoạt động mượt mà, tính tiền chính xác 100% trong 10 kịch bản thử nghiệm.</t>
  </si>
  <si>
    <t>L05-G6-01</t>
  </si>
  <si>
    <t>Review chéo PR module HPOS và tối ưu lưu trữ CSDL chuyên biệt L05</t>
  </si>
  <si>
    <t>Rà soát các bảng dữ liệu wp_wc_orders, wp_wc_order_addresses, wp_wc_order_operational_data và kiểm tra tính toàn vẹn dữ liệu.</t>
  </si>
  <si>
    <t>PR nhánh feature/hpos-optimization trên GitHub</t>
  </si>
  <si>
    <t>Review comments và phê duyệt merge vào develop</t>
  </si>
  <si>
    <t>Xác nhận 100% đơn hàng mới không ghi đè vào wp_posts; ghi lại các điểm tùy biến vào Prompt Log.</t>
  </si>
  <si>
    <t>L05-G8-01</t>
  </si>
  <si>
    <t>Nghiệm thu nghiệp vụ vòng đời đơn hàng, trừ tồn kho và email hóa đơn L05</t>
  </si>
  <si>
    <t>Thực hiện đặt 5 đơn hàng mẫu trên môi trường thật, kiểm tra chuyển đổi trạng thái đơn, tính chính xác tồn kho và email nhận được.</t>
  </si>
  <si>
    <t>Hệ thống website đang chạy với HPOS kích hoạt</t>
  </si>
  <si>
    <t>Biên bản nghiệm thu UAT tại docs/flows/L05-order-processing/uat-report.md</t>
  </si>
  <si>
    <t>100% đơn hàng lưu trữ đúng bảng HPOS chuyên biệt; tồn kho trừ chính xác; email hóa đơn gửi thành công có mã QR.</t>
  </si>
  <si>
    <t>Xây dựng Cơ chế Fallback an toàn (Safe Fallback Mechanism): Nếu thuật toán không tìm thấy sản phẩm hoàn hảo, tự động gợi ý bộ sản phẩm dịu nhẹ (Gentle/All skin types) để không bao giờ trả về kết quả rỗng.</t>
  </si>
  <si>
    <t>100% các tổ hợp câu trả lời ngẫu nhiên đều nhận được kết quả Routine hợp lệ, không bao giờ bị trang trắng.</t>
  </si>
  <si>
    <t>Tối ưu hóa hiển thị Responsive trên toàn bộ kích thước màn hình và kiểm tra Mobile Friendly</t>
  </si>
  <si>
    <t>Tối ưu hiển thị đa kích thước màn hình và đo lường Core Web Vitals tối ưu ảnh Lazy Loading.</t>
  </si>
  <si>
    <t>100% trang giao diện vượt qua bài test Mobile-Friendly; điểm Google Lighthouse Performance đạt &gt;= 85 (Desktop) và &gt;= 75 (Mobile).</t>
  </si>
  <si>
    <t>TASK-61, TASK-69</t>
  </si>
  <si>
    <t>Lập trình tính năng Khuyến mãi Routine Thông minh (Dynamic Routine Bundle Discount): Tự động giảm giá 15% khi khách hàng mua trọn bộ Routine.</t>
  </si>
  <si>
    <t>[CODE NHẬN BẢN VẼ] Lấy file L03_Cart_Combo_Discount_Activity.drawio (từ task L03-G2-01 của Huỳnh Ngọc Nhã Uyên)</t>
  </si>
  <si>
    <t>Hook woocommerce_cart_calculate_fees tự động trừ 10% combo; Quét meta taxonomy bắt xung đột Retinol vs AHA/BHA; Không sửa core WC.</t>
  </si>
  <si>
    <t>L04-G6-01</t>
  </si>
  <si>
    <t>Review chéo PR tích hợp VNPay Sandbox, kiểm tra callback IPN an toàn L04</t>
  </si>
  <si>
    <t>Thực hiện review chéo mã nguồn cổng thanh toán VNPay, kiểm tra tính toán mã băm SHA512 và cập nhật trạng thái đơn.</t>
  </si>
  <si>
    <t>PR nhánh feature/vnpay-payment trên GitHub</t>
  </si>
  <si>
    <t>Review comments và approve PR trên GitHub</t>
  </si>
  <si>
    <t>Xác nhận thanh toán thử nghiệm thành công 10/10 giao dịch; ghi lại các điểm sửa đổi vào Prompt Log.</t>
  </si>
  <si>
    <t>L04-G7-01</t>
  </si>
  <si>
    <t>Kiểm thử toàn diện các cổng thanh toán COD, VietQR và VNPay Sandbox L04</t>
  </si>
  <si>
    <t>Thực thi kiểm thử 10 kịch bản thanh toán COD, quét mã VietQR thành công và thanh toán thử nghiệm qua cổng VNPay Sandbox.</t>
  </si>
  <si>
    <t>Cổng thanh toán VNPay Sandbox và cấu hình WooCommerce Checkout</t>
  </si>
  <si>
    <t>Báo cáo kiểm thử thanh toán tại docs/flows/L04-checkout-payment/test-report.md</t>
  </si>
  <si>
    <t>100% giao dịch test thành công; trạng thái đơn chuyển đúng sang Đang xử lý; bắt lỗi chính xác khi hủy giao dịch.</t>
  </si>
  <si>
    <t>L05-G5-04</t>
  </si>
  <si>
    <t>Đánh index DB MariaDB cho taxonomy; Giảm truy vấn SQL từ 15 xuống 4; Phản hồi &lt; 300ms.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</si>
</sst>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/m/yyyy"/>
  </numFmts>
  <fonts count="11">
    <font>
      <sz val="10.0"/>
      <color rgb="FF000000"/>
      <name val="Arial"/>
      <scheme val="minor"/>
    </font>
    <font>
      <b/>
      <sz val="11.0"/>
      <color rgb="FFFFFFFF"/>
      <name val="Montserrat"/>
    </font>
    <font>
      <b/>
      <sz val="11.0"/>
      <color rgb="FFFFFFFF"/>
      <name val="Roboto"/>
    </font>
    <font>
      <sz val="10.0"/>
      <color rgb="FF181C1F"/>
      <name val="Roboto"/>
    </font>
    <font>
      <sz val="10.0"/>
      <color rgb="FF1A1B20"/>
      <name val="Roboto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  <fill>
      <patternFill patternType="solid">
        <fgColor rgb="FF003366"/>
        <bgColor rgb="FF003366"/>
      </patternFill>
    </fill>
    <fill>
      <patternFill patternType="solid">
        <fgColor rgb="FF19355D"/>
        <bgColor rgb="FF19355D"/>
      </patternFill>
    </fill>
  </fills>
  <borders count="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2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165" xfId="0" applyAlignment="1" applyBorder="1" applyFont="1" applyNumberFormat="1">
      <alignment readingOrder="0"/>
    </xf>
    <xf borderId="1" fillId="0" fontId="4" numFmtId="166" xfId="0" applyAlignment="1" applyBorder="1" applyFont="1" applyNumberFormat="1">
      <alignment readingOrder="0"/>
    </xf>
    <xf borderId="2" fillId="0" fontId="3" numFmtId="166" xfId="0" applyAlignment="1" applyBorder="1" applyFont="1" applyNumberFormat="1">
      <alignment readingOrder="0"/>
    </xf>
    <xf borderId="1" fillId="0" fontId="4" numFmtId="0" xfId="0" applyBorder="1" applyFont="1"/>
    <xf borderId="2" fillId="0" fontId="3" numFmtId="0" xfId="0" applyBorder="1" applyFont="1"/>
    <xf borderId="2" fillId="0" fontId="3" numFmtId="0" xfId="0" applyBorder="1" applyFont="1"/>
    <xf borderId="1" fillId="0" fontId="4" numFmtId="165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0" fontId="3" numFmtId="166" xfId="0" applyAlignment="1" applyBorder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2" fillId="0" fontId="3" numFmtId="164" xfId="0" applyAlignment="1" applyBorder="1" applyFont="1" applyNumberFormat="1">
      <alignment readingOrder="0"/>
    </xf>
    <xf borderId="2" fillId="0" fontId="3" numFmtId="166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0" fillId="3" fontId="7" numFmtId="0" xfId="0" applyAlignment="1" applyFill="1" applyFont="1">
      <alignment readingOrder="0" shrinkToFit="0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165" xfId="0" applyAlignment="1" applyFont="1" applyNumberFormat="1">
      <alignment readingOrder="0" shrinkToFit="0" wrapText="1"/>
    </xf>
    <xf borderId="0" fillId="0" fontId="5" numFmtId="164" xfId="0" applyAlignment="1" applyFont="1" applyNumberFormat="1">
      <alignment shrinkToFit="0" wrapText="1"/>
    </xf>
    <xf borderId="0" fillId="0" fontId="9" numFmtId="0" xfId="0" applyAlignment="1" applyFont="1">
      <alignment readingOrder="0" shrinkToFit="0" wrapText="1"/>
    </xf>
    <xf borderId="0" fillId="0" fontId="5" numFmtId="166" xfId="0" applyAlignment="1" applyFont="1" applyNumberForma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EC08A"/>
          <bgColor rgb="FF3EC08A"/>
        </patternFill>
      </fill>
      <border/>
    </dxf>
    <dxf>
      <font/>
      <fill>
        <patternFill patternType="solid">
          <fgColor rgb="FFEBD94E"/>
          <bgColor rgb="FFEBD94E"/>
        </patternFill>
      </fill>
      <border/>
    </dxf>
  </dxfs>
  <tableStyles count="7">
    <tableStyle count="3" pivot="0" name="Luồng-style">
      <tableStyleElement dxfId="1" type="headerRow"/>
      <tableStyleElement dxfId="2" type="firstRowStripe"/>
      <tableStyleElement dxfId="4" type="secondRowStripe"/>
    </tableStyle>
    <tableStyle count="2" pivot="0" name="DoR-style">
      <tableStyleElement dxfId="3" type="firstRowStripe"/>
      <tableStyleElement dxfId="4" type="secondRowStripe"/>
    </tableStyle>
    <tableStyle count="3" pivot="0" name="RACI-style">
      <tableStyleElement dxfId="1" type="headerRow"/>
      <tableStyleElement dxfId="2" type="firstRowStripe"/>
      <tableStyleElement dxfId="4" type="secondRowStripe"/>
    </tableStyle>
    <tableStyle count="2" pivot="0" name="Danh mục-style">
      <tableStyleElement dxfId="3" type="firstRowStripe"/>
      <tableStyleElement dxfId="4" type="secondRowStripe"/>
    </tableStyle>
    <tableStyle count="2" pivot="0" name="Danh mục-style 2">
      <tableStyleElement dxfId="3" type="firstRowStripe"/>
      <tableStyleElement dxfId="4" type="secondRowStripe"/>
    </tableStyle>
    <tableStyle count="2" pivot="0" name="Danh mục-style 3">
      <tableStyleElement dxfId="3" type="firstRowStripe"/>
      <tableStyleElement dxfId="4" type="secondRowStripe"/>
    </tableStyle>
    <tableStyle count="2" pivot="0" name="Cần chốt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1" displayName="Table_3" name="Table_3" id="2">
  <tableColumns count="4">
    <tableColumn name="Column1" id="1"/>
    <tableColumn name="Column2" id="2"/>
    <tableColumn name="Column3" id="3"/>
    <tableColumn name="Column4" id="4"/>
  </tableColumns>
  <tableStyleInfo name="Danh mục-style" showColumnStripes="0" showFirstColumn="1" showLastColumn="1" showRowStripes="1"/>
</table>
</file>

<file path=xl/tables/table2.xml><?xml version="1.0" encoding="utf-8"?>
<table xmlns="http://schemas.openxmlformats.org/spreadsheetml/2006/main" headerRowCount="0" ref="F2:G9" displayName="Table_5" name="Table_5" id="5">
  <tableColumns count="2">
    <tableColumn name="Column1" id="1"/>
    <tableColumn name="Column2" id="2"/>
  </tableColumns>
  <tableStyleInfo name="Danh mục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:L9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Danh mục-style 3" showColumnStripes="0" showFirstColumn="1" showLastColumn="1" showRowStripes="1"/>
</table>
</file>

<file path=xl/tables/table4.xml><?xml version="1.0" encoding="utf-8"?>
<table xmlns="http://schemas.openxmlformats.org/spreadsheetml/2006/main" ref="A1:Z12" displayName="Table_1" name="Table_1" id="1">
  <tableColumns count="26">
    <tableColumn name="Mã luồng" id="1"/>
    <tableColumn name="Tên" id="2"/>
    <tableColumn name="Nhóm" id="3"/>
    <tableColumn name="Mục tiêu" id="4"/>
    <tableColumn name="Bắt đầu khi" id="5"/>
    <tableColumn name="Kết thúc khi" id="6"/>
    <tableColumn name="Nhận từ luồng" id="7"/>
    <tableColumn name="Bàn giao cho luồng" id="8"/>
    <tableColumn name="Flow Owner" id="9"/>
    <tableColumn name="PO duyệt" id="10"/>
    <tableColumn name="SM duyệt" id="11"/>
    <tableColumn name="QA" id="12"/>
    <tableColumn name="Ưu tiên" id="13"/>
    <tableColumn name="Hạn chốt G3" id="14"/>
    <tableColumn name="Rubric liên quan" id="15"/>
    <tableColumn name="G1" id="16"/>
    <tableColumn name="G2" id="17"/>
    <tableColumn name="G3" id="18"/>
    <tableColumn name="G4" id="19"/>
    <tableColumn name="G5" id="20"/>
    <tableColumn name="G6" id="21"/>
    <tableColumn name="G7" id="22"/>
    <tableColumn name="G8" id="23"/>
    <tableColumn name="% hoàn thành" id="24"/>
    <tableColumn name="Sẵn sàng prompt?" id="25"/>
    <tableColumn name="Link thư mục docs/flows/..." id="26"/>
  </tableColumns>
  <tableStyleInfo name="Luồng-style" showColumnStripes="0" showFirstColumn="1" showLastColumn="1" showRowStripes="1"/>
</table>
</file>

<file path=xl/tables/table5.xml><?xml version="1.0" encoding="utf-8"?>
<table xmlns="http://schemas.openxmlformats.org/spreadsheetml/2006/main" ref="A1:K12" displayName="Table_2" name="Table_2" id="3">
  <tableColumns count="11">
    <tableColumn name="Mã luồng" id="1"/>
    <tableColumn name="Tên luồng" id="2"/>
    <tableColumn name="Nguyễn Tấn Phát" id="3"/>
    <tableColumn name="Lê Nguyễn Quốc An" id="4"/>
    <tableColumn name="Lâm Trúc Uyên" id="5"/>
    <tableColumn name="Huỳnh Ngọc Nhã Uyên" id="6"/>
    <tableColumn name="Bùi Hiếu Nhân" id="7"/>
    <tableColumn name="Nguyễn Minh Trí" id="8"/>
    <tableColumn name="Trần Ngọc Minh Tuyền" id="9"/>
    <tableColumn name="Nguyễn Ngọc Thảo Uyên" id="10"/>
    <tableColumn name="Kiểm tra" id="11"/>
  </tableColumns>
  <tableStyleInfo name="RACI-style" showColumnStripes="0" showFirstColumn="1" showLastColumn="1" showRowStripes="1"/>
</table>
</file>

<file path=xl/tables/table6.xml><?xml version="1.0" encoding="utf-8"?>
<table xmlns="http://schemas.openxmlformats.org/spreadsheetml/2006/main" headerRowCount="0" ref="A2:K12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oR-style" showColumnStripes="0" showFirstColumn="1" showLastColumn="1" showRowStripes="1"/>
</table>
</file>

<file path=xl/tables/table7.xml><?xml version="1.0" encoding="utf-8"?>
<table xmlns="http://schemas.openxmlformats.org/spreadsheetml/2006/main" headerRowCount="0" ref="A2:F10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chố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BaI9IvT2Mji4nBZ3n6FKFH/Design-system?node-id=49-4&amp;t=2m2RM9qCQVkipAsD-1" TargetMode="External"/><Relationship Id="rId2" Type="http://schemas.openxmlformats.org/officeDocument/2006/relationships/hyperlink" Target="https://docs.google.com/spreadsheets/d/1yW8c-KJNLVxDQe4ZA7ow_n-ShNQeskeIGQFANR8IDwM/edit?usp=sharing" TargetMode="External"/><Relationship Id="rId3" Type="http://schemas.openxmlformats.org/officeDocument/2006/relationships/hyperlink" Target="https://drive.google.com/drive/folders/1ahFRurmmMONREax7sHBapWnMwv7LU4tm?usp=drive_link" TargetMode="External"/><Relationship Id="rId4" Type="http://schemas.openxmlformats.org/officeDocument/2006/relationships/hyperlink" Target="https://docs.google.com/document/d/1leuBnglPTXzE2lP4EEZTNFO93_G_XR2rXA3B4HEiPwc/edit?usp=sharing" TargetMode="External"/><Relationship Id="rId5" Type="http://schemas.openxmlformats.org/officeDocument/2006/relationships/hyperlink" Target="https://docs.google.com/spreadsheets/d/14cv_y-ps5W_KFH9b2cHPd8E1U7MneYuCR12XN9Wqj1Q/edit?usp=sharing" TargetMode="External"/><Relationship Id="rId6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2.0"/>
    <col customWidth="1" min="3" max="3" width="12.38"/>
    <col customWidth="1" min="4" max="4" width="64.88"/>
    <col customWidth="1" min="6" max="6" width="18.63"/>
    <col customWidth="1" min="7" max="7" width="42.13"/>
    <col customWidth="1" min="9" max="9" width="9.38"/>
    <col customWidth="1" min="10" max="10" width="8.63"/>
    <col customWidth="1" min="11" max="11" width="5.38"/>
    <col customWidth="1" min="12" max="12" width="6.38"/>
  </cols>
  <sheetData>
    <row r="1">
      <c r="A1" s="2" t="s">
        <v>1</v>
      </c>
      <c r="B1" s="2" t="s">
        <v>3</v>
      </c>
      <c r="C1" s="2" t="s">
        <v>6</v>
      </c>
      <c r="D1" s="2" t="s">
        <v>11</v>
      </c>
      <c r="F1" s="2" t="s">
        <v>15</v>
      </c>
      <c r="G1" s="2" t="s">
        <v>19</v>
      </c>
      <c r="I1" s="2" t="s">
        <v>24</v>
      </c>
      <c r="J1" s="2" t="s">
        <v>30</v>
      </c>
      <c r="K1" s="2" t="s">
        <v>34</v>
      </c>
      <c r="L1" s="2" t="s">
        <v>38</v>
      </c>
    </row>
    <row r="2">
      <c r="A2" s="6" t="s">
        <v>49</v>
      </c>
      <c r="B2" s="7">
        <v>46286.0</v>
      </c>
      <c r="C2" s="7">
        <v>46292.0</v>
      </c>
      <c r="D2" s="6" t="s">
        <v>68</v>
      </c>
      <c r="F2" s="6" t="s">
        <v>9</v>
      </c>
      <c r="G2" s="6" t="s">
        <v>69</v>
      </c>
      <c r="I2" s="6" t="s">
        <v>70</v>
      </c>
      <c r="J2" s="6" t="s">
        <v>71</v>
      </c>
      <c r="K2" s="6" t="s">
        <v>42</v>
      </c>
      <c r="L2" s="8">
        <v>46027.0</v>
      </c>
    </row>
    <row r="3">
      <c r="A3" s="6" t="s">
        <v>73</v>
      </c>
      <c r="B3" s="7">
        <v>46293.0</v>
      </c>
      <c r="C3" s="7">
        <v>46299.0</v>
      </c>
      <c r="D3" s="6" t="s">
        <v>74</v>
      </c>
      <c r="F3" s="6" t="s">
        <v>13</v>
      </c>
      <c r="G3" s="6" t="s">
        <v>75</v>
      </c>
      <c r="I3" s="6" t="s">
        <v>77</v>
      </c>
      <c r="J3" s="6" t="s">
        <v>78</v>
      </c>
      <c r="K3" s="6" t="s">
        <v>44</v>
      </c>
      <c r="L3" s="8">
        <v>46058.0</v>
      </c>
    </row>
    <row r="4">
      <c r="A4" s="6" t="s">
        <v>79</v>
      </c>
      <c r="B4" s="7">
        <v>46300.0</v>
      </c>
      <c r="C4" s="10">
        <v>46306.0</v>
      </c>
      <c r="D4" s="6" t="s">
        <v>80</v>
      </c>
      <c r="F4" s="6" t="s">
        <v>18</v>
      </c>
      <c r="G4" s="6" t="s">
        <v>81</v>
      </c>
      <c r="I4" s="6" t="s">
        <v>82</v>
      </c>
      <c r="J4" s="6" t="s">
        <v>83</v>
      </c>
      <c r="K4" s="6" t="s">
        <v>45</v>
      </c>
      <c r="L4" s="8">
        <v>46086.0</v>
      </c>
    </row>
    <row r="5">
      <c r="A5" s="6" t="s">
        <v>84</v>
      </c>
      <c r="B5" s="10">
        <v>46307.0</v>
      </c>
      <c r="C5" s="10">
        <v>46313.0</v>
      </c>
      <c r="D5" s="6" t="s">
        <v>86</v>
      </c>
      <c r="F5" s="6" t="s">
        <v>21</v>
      </c>
      <c r="G5" s="6" t="s">
        <v>88</v>
      </c>
      <c r="I5" s="6" t="s">
        <v>89</v>
      </c>
      <c r="J5" s="6" t="s">
        <v>90</v>
      </c>
      <c r="K5" s="6" t="s">
        <v>46</v>
      </c>
      <c r="L5" s="8">
        <v>46117.0</v>
      </c>
    </row>
    <row r="6">
      <c r="A6" s="6" t="s">
        <v>91</v>
      </c>
      <c r="B6" s="10">
        <v>46314.0</v>
      </c>
      <c r="C6" s="10">
        <v>46320.0</v>
      </c>
      <c r="D6" s="6" t="s">
        <v>94</v>
      </c>
      <c r="F6" s="6" t="s">
        <v>26</v>
      </c>
      <c r="G6" s="6" t="s">
        <v>96</v>
      </c>
      <c r="I6" s="6" t="s">
        <v>97</v>
      </c>
      <c r="J6" s="13"/>
      <c r="K6" s="6" t="s">
        <v>48</v>
      </c>
      <c r="L6" s="8">
        <v>46147.0</v>
      </c>
    </row>
    <row r="7">
      <c r="A7" s="6" t="s">
        <v>101</v>
      </c>
      <c r="B7" s="10">
        <v>46321.0</v>
      </c>
      <c r="C7" s="7">
        <v>46327.0</v>
      </c>
      <c r="D7" s="6" t="s">
        <v>102</v>
      </c>
      <c r="F7" s="6" t="s">
        <v>29</v>
      </c>
      <c r="G7" s="6" t="s">
        <v>103</v>
      </c>
      <c r="I7" s="6" t="s">
        <v>105</v>
      </c>
      <c r="J7" s="13"/>
      <c r="K7" s="6" t="s">
        <v>50</v>
      </c>
      <c r="L7" s="8">
        <v>46178.0</v>
      </c>
    </row>
    <row r="8">
      <c r="A8" s="6" t="s">
        <v>107</v>
      </c>
      <c r="B8" s="7">
        <v>46328.0</v>
      </c>
      <c r="C8" s="7">
        <v>46334.0</v>
      </c>
      <c r="D8" s="6" t="s">
        <v>109</v>
      </c>
      <c r="F8" s="6" t="s">
        <v>33</v>
      </c>
      <c r="G8" s="6" t="s">
        <v>111</v>
      </c>
      <c r="I8" s="6" t="s">
        <v>113</v>
      </c>
      <c r="J8" s="13"/>
      <c r="K8" s="6" t="s">
        <v>51</v>
      </c>
      <c r="L8" s="6" t="s">
        <v>76</v>
      </c>
    </row>
    <row r="9">
      <c r="A9" s="6" t="s">
        <v>114</v>
      </c>
      <c r="B9" s="7">
        <v>46335.0</v>
      </c>
      <c r="C9" s="10">
        <v>46341.0</v>
      </c>
      <c r="D9" s="6" t="s">
        <v>116</v>
      </c>
      <c r="F9" s="6" t="s">
        <v>35</v>
      </c>
      <c r="G9" s="6" t="s">
        <v>118</v>
      </c>
      <c r="I9" s="13"/>
      <c r="J9" s="13"/>
      <c r="K9" s="6" t="s">
        <v>52</v>
      </c>
      <c r="L9" s="13"/>
    </row>
    <row r="10">
      <c r="A10" s="6" t="s">
        <v>121</v>
      </c>
      <c r="B10" s="10">
        <v>46342.0</v>
      </c>
      <c r="C10" s="10">
        <v>46348.0</v>
      </c>
      <c r="D10" s="6" t="s">
        <v>122</v>
      </c>
    </row>
    <row r="11">
      <c r="A11" s="6" t="s">
        <v>125</v>
      </c>
      <c r="B11" s="10">
        <v>46349.0</v>
      </c>
      <c r="C11" s="10">
        <v>46355.0</v>
      </c>
      <c r="D11" s="6" t="s">
        <v>126</v>
      </c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66.75"/>
    <col customWidth="1" min="3" max="3" width="13.88"/>
    <col customWidth="1" min="4" max="4" width="78.75"/>
    <col customWidth="1" min="5" max="5" width="27.0"/>
    <col customWidth="1" min="6" max="6" width="41.5"/>
    <col customWidth="1" min="7" max="7" width="12.25"/>
    <col customWidth="1" min="8" max="8" width="24.25"/>
    <col customWidth="1" min="9" max="9" width="18.63"/>
    <col customWidth="1" min="10" max="10" width="13.25"/>
    <col customWidth="1" min="11" max="11" width="15.13"/>
    <col customWidth="1" min="12" max="12" width="18.63"/>
    <col customWidth="1" min="13" max="13" width="6.75"/>
    <col customWidth="1" min="14" max="14" width="10.88"/>
    <col customWidth="1" min="15" max="15" width="13.88"/>
    <col customWidth="1" min="16" max="23" width="7.38"/>
    <col customWidth="1" min="24" max="24" width="11.63"/>
    <col customWidth="1" min="25" max="25" width="15.5"/>
    <col customWidth="1" min="26" max="26" width="28.63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10</v>
      </c>
      <c r="F1" s="1" t="s">
        <v>14</v>
      </c>
      <c r="G1" s="1" t="s">
        <v>16</v>
      </c>
      <c r="H1" s="1" t="s">
        <v>20</v>
      </c>
      <c r="I1" s="1" t="s">
        <v>23</v>
      </c>
      <c r="J1" s="1" t="s">
        <v>25</v>
      </c>
      <c r="K1" s="1" t="s">
        <v>28</v>
      </c>
      <c r="L1" s="1" t="s">
        <v>31</v>
      </c>
      <c r="M1" s="1" t="s">
        <v>30</v>
      </c>
      <c r="N1" s="1" t="s">
        <v>36</v>
      </c>
      <c r="O1" s="1" t="s">
        <v>39</v>
      </c>
      <c r="P1" s="1" t="s">
        <v>42</v>
      </c>
      <c r="Q1" s="1" t="s">
        <v>44</v>
      </c>
      <c r="R1" s="1" t="s">
        <v>45</v>
      </c>
      <c r="S1" s="1" t="s">
        <v>46</v>
      </c>
      <c r="T1" s="1" t="s">
        <v>48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</row>
    <row r="2">
      <c r="A2" s="5" t="s">
        <v>47</v>
      </c>
      <c r="B2" s="5" t="s">
        <v>57</v>
      </c>
      <c r="C2" s="5" t="s">
        <v>62</v>
      </c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26</v>
      </c>
      <c r="J2" s="5" t="s">
        <v>9</v>
      </c>
      <c r="K2" s="5" t="s">
        <v>13</v>
      </c>
      <c r="L2" s="5" t="s">
        <v>35</v>
      </c>
      <c r="M2" s="5" t="s">
        <v>72</v>
      </c>
      <c r="N2" s="9">
        <v>46306.0</v>
      </c>
      <c r="O2" s="5" t="s">
        <v>76</v>
      </c>
      <c r="P2" s="11" t="str">
        <f t="shared" ref="P2:P12" si="1">COUNTIFS(Tasks!$B$2:$B$137,A2,Tasks!$C$2:$C$137,"G1",Tasks!$Q$2:$Q$137,"Done")&amp;"/"&amp;COUNTIFS(Tasks!$B$2:$B$137,A2,Tasks!$C$2:$C$137,"G1")</f>
        <v>0/0</v>
      </c>
      <c r="Q2" s="11" t="str">
        <f t="shared" ref="Q2:Q12" si="2">COUNTIFS(Tasks!$B$2:$B$137,A2,Tasks!$C$2:$C$137,"G2",Tasks!$Q$2:$Q$137,"Done")&amp;"/"&amp;COUNTIFS(Tasks!$B$2:$B$137,A2,Tasks!$C$2:$C$137,"G2")</f>
        <v>0/0</v>
      </c>
      <c r="R2" s="11" t="str">
        <f t="shared" ref="R2:R12" si="3">COUNTIFS(Tasks!$B$2:$B$137,A2,Tasks!$C$2:$C$137,"G3",Tasks!$Q$2:$Q$137,"Done")&amp;"/"&amp;COUNTIFS(Tasks!$B$2:$B$137,A2,Tasks!$C$2:$C$137,"G3")</f>
        <v>0/0</v>
      </c>
      <c r="S2" s="11" t="str">
        <f t="shared" ref="S2:S12" si="4">COUNTIFS(Tasks!$B$2:$B$137,A2,Tasks!$C$2:$C$137,"G4",Tasks!$Q$2:$Q$137,"Done")&amp;"/"&amp;COUNTIFS(Tasks!$B$2:$B$137,A2,Tasks!$C$2:$C$137,"G4")</f>
        <v>0/0</v>
      </c>
      <c r="T2" s="11" t="str">
        <f t="shared" ref="T2:T12" si="5">COUNTIFS(Tasks!$B$2:$B$137,A2,Tasks!$C$2:$C$137,"G5",Tasks!$Q$2:$Q$137,"Done")&amp;"/"&amp;COUNTIFS(Tasks!$B$2:$B$137,A2,Tasks!$C$2:$C$137,"G5")</f>
        <v>0/0</v>
      </c>
      <c r="U2" s="11" t="str">
        <f t="shared" ref="U2:U12" si="6">COUNTIFS(Tasks!$B$2:$B$137,A2,Tasks!$C$2:$C$137,"G6",Tasks!$Q$2:$Q$137,"Done")&amp;"/"&amp;COUNTIFS(Tasks!$B$2:$B$137,A2,Tasks!$C$2:$C$137,"G6")</f>
        <v>0/0</v>
      </c>
      <c r="V2" s="11" t="str">
        <f t="shared" ref="V2:V12" si="7">COUNTIFS(Tasks!$B$2:$B$137,A2,Tasks!$C$2:$C$137,"G7",Tasks!$Q$2:$Q$137,"Done")&amp;"/"&amp;COUNTIFS(Tasks!$B$2:$B$137,A2,Tasks!$C$2:$C$137,"G7")</f>
        <v>0/0</v>
      </c>
      <c r="W2" s="11" t="str">
        <f t="shared" ref="W2:W12" si="8">COUNTIFS(Tasks!$B$2:$B$137,A2,Tasks!$C$2:$C$137,"G8",Tasks!$Q$2:$Q$137,"Done")&amp;"/"&amp;COUNTIFS(Tasks!$B$2:$B$137,A2,Tasks!$C$2:$C$137,"G8")</f>
        <v>0/0</v>
      </c>
      <c r="X2" s="11">
        <f t="shared" ref="X2:X12" si="9">IFERROR(COUNTIFS(Tasks!$B$2:$B$137,A2,Tasks!$Q$2:$Q$137,"Done")/COUNTIF(Tasks!$B$2:$B$137,A2),0)</f>
        <v>0</v>
      </c>
      <c r="Y2" s="11" t="str">
        <f t="shared" ref="Y2:Y12" si="10">IFERROR(VLOOKUP(A2,DoR!$A$2:$K$12,11,FALSE),"CHƯA SẴN SÀNG")</f>
        <v>CHƯA SẴN SÀNG</v>
      </c>
      <c r="Z2" s="5" t="s">
        <v>137</v>
      </c>
    </row>
    <row r="3">
      <c r="A3" s="5" t="s">
        <v>85</v>
      </c>
      <c r="B3" s="5" t="s">
        <v>87</v>
      </c>
      <c r="C3" s="5" t="s">
        <v>62</v>
      </c>
      <c r="D3" s="5" t="s">
        <v>138</v>
      </c>
      <c r="E3" s="5" t="s">
        <v>139</v>
      </c>
      <c r="F3" s="5" t="s">
        <v>140</v>
      </c>
      <c r="G3" s="5" t="s">
        <v>66</v>
      </c>
      <c r="H3" s="5" t="s">
        <v>93</v>
      </c>
      <c r="I3" s="5" t="s">
        <v>18</v>
      </c>
      <c r="J3" s="5" t="s">
        <v>9</v>
      </c>
      <c r="K3" s="5" t="s">
        <v>13</v>
      </c>
      <c r="L3" s="5" t="s">
        <v>35</v>
      </c>
      <c r="M3" s="5" t="s">
        <v>72</v>
      </c>
      <c r="N3" s="9">
        <v>46306.0</v>
      </c>
      <c r="O3" s="5" t="s">
        <v>76</v>
      </c>
      <c r="P3" s="11" t="str">
        <f t="shared" si="1"/>
        <v>0/0</v>
      </c>
      <c r="Q3" s="11" t="str">
        <f t="shared" si="2"/>
        <v>0/0</v>
      </c>
      <c r="R3" s="11" t="str">
        <f t="shared" si="3"/>
        <v>0/0</v>
      </c>
      <c r="S3" s="11" t="str">
        <f t="shared" si="4"/>
        <v>0/0</v>
      </c>
      <c r="T3" s="11" t="str">
        <f t="shared" si="5"/>
        <v>0/0</v>
      </c>
      <c r="U3" s="11" t="str">
        <f t="shared" si="6"/>
        <v>0/0</v>
      </c>
      <c r="V3" s="11" t="str">
        <f t="shared" si="7"/>
        <v>0/0</v>
      </c>
      <c r="W3" s="11" t="str">
        <f t="shared" si="8"/>
        <v>0/0</v>
      </c>
      <c r="X3" s="11">
        <f t="shared" si="9"/>
        <v>0</v>
      </c>
      <c r="Y3" s="11" t="str">
        <f t="shared" si="10"/>
        <v>CHƯA SẴN SÀNG</v>
      </c>
      <c r="Z3" s="5" t="s">
        <v>141</v>
      </c>
    </row>
    <row r="4">
      <c r="A4" s="5" t="s">
        <v>93</v>
      </c>
      <c r="B4" s="5" t="s">
        <v>95</v>
      </c>
      <c r="C4" s="5" t="s">
        <v>62</v>
      </c>
      <c r="D4" s="5" t="s">
        <v>142</v>
      </c>
      <c r="E4" s="5" t="s">
        <v>143</v>
      </c>
      <c r="F4" s="5" t="s">
        <v>144</v>
      </c>
      <c r="G4" s="5" t="s">
        <v>145</v>
      </c>
      <c r="H4" s="5" t="s">
        <v>98</v>
      </c>
      <c r="I4" s="5" t="s">
        <v>21</v>
      </c>
      <c r="J4" s="5" t="s">
        <v>9</v>
      </c>
      <c r="K4" s="5" t="s">
        <v>13</v>
      </c>
      <c r="L4" s="5" t="s">
        <v>35</v>
      </c>
      <c r="M4" s="5" t="s">
        <v>72</v>
      </c>
      <c r="N4" s="9">
        <v>46313.0</v>
      </c>
      <c r="O4" s="5" t="s">
        <v>76</v>
      </c>
      <c r="P4" s="11" t="str">
        <f t="shared" si="1"/>
        <v>0/0</v>
      </c>
      <c r="Q4" s="11" t="str">
        <f t="shared" si="2"/>
        <v>0/0</v>
      </c>
      <c r="R4" s="11" t="str">
        <f t="shared" si="3"/>
        <v>0/0</v>
      </c>
      <c r="S4" s="11" t="str">
        <f t="shared" si="4"/>
        <v>0/0</v>
      </c>
      <c r="T4" s="11" t="str">
        <f t="shared" si="5"/>
        <v>0/0</v>
      </c>
      <c r="U4" s="11" t="str">
        <f t="shared" si="6"/>
        <v>0/0</v>
      </c>
      <c r="V4" s="11" t="str">
        <f t="shared" si="7"/>
        <v>0/0</v>
      </c>
      <c r="W4" s="11" t="str">
        <f t="shared" si="8"/>
        <v>0/0</v>
      </c>
      <c r="X4" s="11">
        <f t="shared" si="9"/>
        <v>0</v>
      </c>
      <c r="Y4" s="11" t="str">
        <f t="shared" si="10"/>
        <v>CHƯA SẴN SÀNG</v>
      </c>
      <c r="Z4" s="5" t="s">
        <v>146</v>
      </c>
    </row>
    <row r="5">
      <c r="A5" s="5" t="s">
        <v>98</v>
      </c>
      <c r="B5" s="5" t="s">
        <v>99</v>
      </c>
      <c r="C5" s="5" t="s">
        <v>62</v>
      </c>
      <c r="D5" s="5" t="s">
        <v>147</v>
      </c>
      <c r="E5" s="5" t="s">
        <v>148</v>
      </c>
      <c r="F5" s="5" t="s">
        <v>149</v>
      </c>
      <c r="G5" s="5" t="s">
        <v>93</v>
      </c>
      <c r="H5" s="5" t="s">
        <v>104</v>
      </c>
      <c r="I5" s="5" t="s">
        <v>33</v>
      </c>
      <c r="J5" s="5" t="s">
        <v>9</v>
      </c>
      <c r="K5" s="5" t="s">
        <v>13</v>
      </c>
      <c r="L5" s="5" t="s">
        <v>35</v>
      </c>
      <c r="M5" s="5" t="s">
        <v>72</v>
      </c>
      <c r="N5" s="9">
        <v>46313.0</v>
      </c>
      <c r="O5" s="14">
        <v>46058.0</v>
      </c>
      <c r="P5" s="11" t="str">
        <f t="shared" si="1"/>
        <v>0/0</v>
      </c>
      <c r="Q5" s="11" t="str">
        <f t="shared" si="2"/>
        <v>0/0</v>
      </c>
      <c r="R5" s="11" t="str">
        <f t="shared" si="3"/>
        <v>0/0</v>
      </c>
      <c r="S5" s="11" t="str">
        <f t="shared" si="4"/>
        <v>0/0</v>
      </c>
      <c r="T5" s="11" t="str">
        <f t="shared" si="5"/>
        <v>0/0</v>
      </c>
      <c r="U5" s="11" t="str">
        <f t="shared" si="6"/>
        <v>0/0</v>
      </c>
      <c r="V5" s="11" t="str">
        <f t="shared" si="7"/>
        <v>0/0</v>
      </c>
      <c r="W5" s="11" t="str">
        <f t="shared" si="8"/>
        <v>0/0</v>
      </c>
      <c r="X5" s="11">
        <f t="shared" si="9"/>
        <v>0</v>
      </c>
      <c r="Y5" s="11" t="str">
        <f t="shared" si="10"/>
        <v>CHƯA SẴN SÀNG</v>
      </c>
      <c r="Z5" s="5" t="s">
        <v>171</v>
      </c>
    </row>
    <row r="6">
      <c r="A6" s="5" t="s">
        <v>104</v>
      </c>
      <c r="B6" s="5" t="s">
        <v>106</v>
      </c>
      <c r="C6" s="5" t="s">
        <v>172</v>
      </c>
      <c r="D6" s="5" t="s">
        <v>173</v>
      </c>
      <c r="E6" s="5" t="s">
        <v>174</v>
      </c>
      <c r="F6" s="5" t="s">
        <v>175</v>
      </c>
      <c r="G6" s="5" t="s">
        <v>98</v>
      </c>
      <c r="H6" s="5" t="s">
        <v>176</v>
      </c>
      <c r="I6" s="5" t="s">
        <v>29</v>
      </c>
      <c r="J6" s="5" t="s">
        <v>9</v>
      </c>
      <c r="K6" s="5" t="s">
        <v>13</v>
      </c>
      <c r="L6" s="5" t="s">
        <v>35</v>
      </c>
      <c r="M6" s="5" t="s">
        <v>72</v>
      </c>
      <c r="N6" s="9">
        <v>46313.0</v>
      </c>
      <c r="O6" s="14">
        <v>46086.0</v>
      </c>
      <c r="P6" s="11" t="str">
        <f t="shared" si="1"/>
        <v>0/0</v>
      </c>
      <c r="Q6" s="11" t="str">
        <f t="shared" si="2"/>
        <v>0/0</v>
      </c>
      <c r="R6" s="11" t="str">
        <f t="shared" si="3"/>
        <v>0/0</v>
      </c>
      <c r="S6" s="11" t="str">
        <f t="shared" si="4"/>
        <v>0/0</v>
      </c>
      <c r="T6" s="11" t="str">
        <f t="shared" si="5"/>
        <v>0/0</v>
      </c>
      <c r="U6" s="11" t="str">
        <f t="shared" si="6"/>
        <v>0/0</v>
      </c>
      <c r="V6" s="11" t="str">
        <f t="shared" si="7"/>
        <v>0/0</v>
      </c>
      <c r="W6" s="11" t="str">
        <f t="shared" si="8"/>
        <v>0/0</v>
      </c>
      <c r="X6" s="11">
        <f t="shared" si="9"/>
        <v>0</v>
      </c>
      <c r="Y6" s="11" t="str">
        <f t="shared" si="10"/>
        <v>CHƯA SẴN SÀNG</v>
      </c>
      <c r="Z6" s="5" t="s">
        <v>182</v>
      </c>
    </row>
    <row r="7">
      <c r="A7" s="5" t="s">
        <v>110</v>
      </c>
      <c r="B7" s="5" t="s">
        <v>112</v>
      </c>
      <c r="C7" s="5" t="s">
        <v>62</v>
      </c>
      <c r="D7" s="5" t="s">
        <v>183</v>
      </c>
      <c r="E7" s="5" t="s">
        <v>175</v>
      </c>
      <c r="F7" s="5" t="s">
        <v>184</v>
      </c>
      <c r="G7" s="5" t="s">
        <v>104</v>
      </c>
      <c r="H7" s="5" t="s">
        <v>185</v>
      </c>
      <c r="I7" s="5" t="s">
        <v>33</v>
      </c>
      <c r="J7" s="5" t="s">
        <v>9</v>
      </c>
      <c r="K7" s="5" t="s">
        <v>13</v>
      </c>
      <c r="L7" s="5" t="s">
        <v>35</v>
      </c>
      <c r="M7" s="5" t="s">
        <v>186</v>
      </c>
      <c r="N7" s="9">
        <v>46320.0</v>
      </c>
      <c r="O7" s="5" t="s">
        <v>76</v>
      </c>
      <c r="P7" s="11" t="str">
        <f t="shared" si="1"/>
        <v>0/0</v>
      </c>
      <c r="Q7" s="11" t="str">
        <f t="shared" si="2"/>
        <v>0/0</v>
      </c>
      <c r="R7" s="11" t="str">
        <f t="shared" si="3"/>
        <v>0/0</v>
      </c>
      <c r="S7" s="11" t="str">
        <f t="shared" si="4"/>
        <v>0/0</v>
      </c>
      <c r="T7" s="11" t="str">
        <f t="shared" si="5"/>
        <v>0/0</v>
      </c>
      <c r="U7" s="11" t="str">
        <f t="shared" si="6"/>
        <v>0/0</v>
      </c>
      <c r="V7" s="11" t="str">
        <f t="shared" si="7"/>
        <v>0/0</v>
      </c>
      <c r="W7" s="11" t="str">
        <f t="shared" si="8"/>
        <v>0/0</v>
      </c>
      <c r="X7" s="11">
        <f t="shared" si="9"/>
        <v>0</v>
      </c>
      <c r="Y7" s="11" t="str">
        <f t="shared" si="10"/>
        <v>CHƯA SẴN SÀNG</v>
      </c>
      <c r="Z7" s="5" t="s">
        <v>187</v>
      </c>
    </row>
    <row r="8">
      <c r="A8" s="5" t="s">
        <v>115</v>
      </c>
      <c r="B8" s="5" t="s">
        <v>117</v>
      </c>
      <c r="C8" s="5" t="s">
        <v>62</v>
      </c>
      <c r="D8" s="5" t="s">
        <v>191</v>
      </c>
      <c r="E8" s="5" t="s">
        <v>192</v>
      </c>
      <c r="F8" s="5" t="s">
        <v>194</v>
      </c>
      <c r="G8" s="5" t="s">
        <v>110</v>
      </c>
      <c r="H8" s="5" t="s">
        <v>197</v>
      </c>
      <c r="I8" s="5" t="s">
        <v>9</v>
      </c>
      <c r="J8" s="5" t="s">
        <v>9</v>
      </c>
      <c r="K8" s="5" t="s">
        <v>13</v>
      </c>
      <c r="L8" s="5" t="s">
        <v>35</v>
      </c>
      <c r="M8" s="5" t="s">
        <v>186</v>
      </c>
      <c r="N8" s="9">
        <v>46320.0</v>
      </c>
      <c r="O8" s="5" t="s">
        <v>76</v>
      </c>
      <c r="P8" s="11" t="str">
        <f t="shared" si="1"/>
        <v>0/0</v>
      </c>
      <c r="Q8" s="11" t="str">
        <f t="shared" si="2"/>
        <v>0/0</v>
      </c>
      <c r="R8" s="11" t="str">
        <f t="shared" si="3"/>
        <v>0/0</v>
      </c>
      <c r="S8" s="11" t="str">
        <f t="shared" si="4"/>
        <v>0/0</v>
      </c>
      <c r="T8" s="11" t="str">
        <f t="shared" si="5"/>
        <v>0/0</v>
      </c>
      <c r="U8" s="11" t="str">
        <f t="shared" si="6"/>
        <v>0/0</v>
      </c>
      <c r="V8" s="11" t="str">
        <f t="shared" si="7"/>
        <v>0/0</v>
      </c>
      <c r="W8" s="11" t="str">
        <f t="shared" si="8"/>
        <v>0/0</v>
      </c>
      <c r="X8" s="11">
        <f t="shared" si="9"/>
        <v>0</v>
      </c>
      <c r="Y8" s="11" t="str">
        <f t="shared" si="10"/>
        <v>CHƯA SẴN SÀNG</v>
      </c>
      <c r="Z8" s="5" t="s">
        <v>227</v>
      </c>
    </row>
    <row r="9">
      <c r="A9" s="5" t="s">
        <v>66</v>
      </c>
      <c r="B9" s="5" t="s">
        <v>120</v>
      </c>
      <c r="C9" s="5" t="s">
        <v>172</v>
      </c>
      <c r="D9" s="5" t="s">
        <v>234</v>
      </c>
      <c r="E9" s="5" t="s">
        <v>235</v>
      </c>
      <c r="F9" s="5" t="s">
        <v>236</v>
      </c>
      <c r="G9" s="5" t="s">
        <v>76</v>
      </c>
      <c r="H9" s="5" t="s">
        <v>145</v>
      </c>
      <c r="I9" s="5" t="s">
        <v>29</v>
      </c>
      <c r="J9" s="5" t="s">
        <v>9</v>
      </c>
      <c r="K9" s="5" t="s">
        <v>13</v>
      </c>
      <c r="L9" s="5" t="s">
        <v>35</v>
      </c>
      <c r="M9" s="5" t="s">
        <v>72</v>
      </c>
      <c r="N9" s="9">
        <v>46306.0</v>
      </c>
      <c r="O9" s="14">
        <v>46117.0</v>
      </c>
      <c r="P9" s="11" t="str">
        <f t="shared" si="1"/>
        <v>0/0</v>
      </c>
      <c r="Q9" s="11" t="str">
        <f t="shared" si="2"/>
        <v>0/0</v>
      </c>
      <c r="R9" s="11" t="str">
        <f t="shared" si="3"/>
        <v>0/0</v>
      </c>
      <c r="S9" s="11" t="str">
        <f t="shared" si="4"/>
        <v>0/0</v>
      </c>
      <c r="T9" s="11" t="str">
        <f t="shared" si="5"/>
        <v>0/0</v>
      </c>
      <c r="U9" s="11" t="str">
        <f t="shared" si="6"/>
        <v>0/0</v>
      </c>
      <c r="V9" s="11" t="str">
        <f t="shared" si="7"/>
        <v>0/0</v>
      </c>
      <c r="W9" s="11" t="str">
        <f t="shared" si="8"/>
        <v>0/0</v>
      </c>
      <c r="X9" s="11">
        <f t="shared" si="9"/>
        <v>0</v>
      </c>
      <c r="Y9" s="11" t="str">
        <f t="shared" si="10"/>
        <v>CHƯA SẴN SÀNG</v>
      </c>
      <c r="Z9" s="5" t="s">
        <v>271</v>
      </c>
    </row>
    <row r="10">
      <c r="A10" s="5" t="s">
        <v>123</v>
      </c>
      <c r="B10" s="5" t="s">
        <v>124</v>
      </c>
      <c r="C10" s="5" t="s">
        <v>172</v>
      </c>
      <c r="D10" s="5" t="s">
        <v>276</v>
      </c>
      <c r="E10" s="5" t="s">
        <v>277</v>
      </c>
      <c r="F10" s="5" t="s">
        <v>278</v>
      </c>
      <c r="G10" s="5" t="s">
        <v>76</v>
      </c>
      <c r="H10" s="5" t="s">
        <v>279</v>
      </c>
      <c r="I10" s="5" t="s">
        <v>13</v>
      </c>
      <c r="J10" s="5" t="s">
        <v>9</v>
      </c>
      <c r="K10" s="5" t="s">
        <v>13</v>
      </c>
      <c r="L10" s="5" t="s">
        <v>35</v>
      </c>
      <c r="M10" s="5" t="s">
        <v>72</v>
      </c>
      <c r="N10" s="9">
        <v>46306.0</v>
      </c>
      <c r="O10" s="5" t="s">
        <v>283</v>
      </c>
      <c r="P10" s="11" t="str">
        <f t="shared" si="1"/>
        <v>0/0</v>
      </c>
      <c r="Q10" s="11" t="str">
        <f t="shared" si="2"/>
        <v>0/0</v>
      </c>
      <c r="R10" s="11" t="str">
        <f t="shared" si="3"/>
        <v>0/0</v>
      </c>
      <c r="S10" s="11" t="str">
        <f t="shared" si="4"/>
        <v>0/0</v>
      </c>
      <c r="T10" s="11" t="str">
        <f t="shared" si="5"/>
        <v>0/0</v>
      </c>
      <c r="U10" s="11" t="str">
        <f t="shared" si="6"/>
        <v>0/0</v>
      </c>
      <c r="V10" s="11" t="str">
        <f t="shared" si="7"/>
        <v>0/0</v>
      </c>
      <c r="W10" s="11" t="str">
        <f t="shared" si="8"/>
        <v>0/0</v>
      </c>
      <c r="X10" s="11">
        <f t="shared" si="9"/>
        <v>0</v>
      </c>
      <c r="Y10" s="11" t="str">
        <f t="shared" si="10"/>
        <v>CHƯA SẴN SÀNG</v>
      </c>
      <c r="Z10" s="5" t="s">
        <v>302</v>
      </c>
    </row>
    <row r="11">
      <c r="A11" s="5" t="s">
        <v>129</v>
      </c>
      <c r="B11" s="5" t="s">
        <v>130</v>
      </c>
      <c r="C11" s="5" t="s">
        <v>172</v>
      </c>
      <c r="D11" s="5" t="s">
        <v>306</v>
      </c>
      <c r="E11" s="5" t="s">
        <v>308</v>
      </c>
      <c r="F11" s="5" t="s">
        <v>310</v>
      </c>
      <c r="G11" s="5" t="s">
        <v>311</v>
      </c>
      <c r="H11" s="5" t="s">
        <v>312</v>
      </c>
      <c r="I11" s="5" t="s">
        <v>35</v>
      </c>
      <c r="J11" s="5" t="s">
        <v>9</v>
      </c>
      <c r="K11" s="5" t="s">
        <v>13</v>
      </c>
      <c r="L11" s="5" t="s">
        <v>26</v>
      </c>
      <c r="M11" s="5" t="s">
        <v>72</v>
      </c>
      <c r="N11" s="25">
        <v>46327.0</v>
      </c>
      <c r="O11" s="5" t="s">
        <v>318</v>
      </c>
      <c r="P11" s="11" t="str">
        <f t="shared" si="1"/>
        <v>0/0</v>
      </c>
      <c r="Q11" s="11" t="str">
        <f t="shared" si="2"/>
        <v>0/0</v>
      </c>
      <c r="R11" s="11" t="str">
        <f t="shared" si="3"/>
        <v>0/0</v>
      </c>
      <c r="S11" s="11" t="str">
        <f t="shared" si="4"/>
        <v>0/0</v>
      </c>
      <c r="T11" s="11" t="str">
        <f t="shared" si="5"/>
        <v>0/0</v>
      </c>
      <c r="U11" s="11" t="str">
        <f t="shared" si="6"/>
        <v>0/0</v>
      </c>
      <c r="V11" s="11" t="str">
        <f t="shared" si="7"/>
        <v>0/0</v>
      </c>
      <c r="W11" s="11" t="str">
        <f t="shared" si="8"/>
        <v>0/0</v>
      </c>
      <c r="X11" s="11">
        <f t="shared" si="9"/>
        <v>0</v>
      </c>
      <c r="Y11" s="11" t="str">
        <f t="shared" si="10"/>
        <v>CHƯA SẴN SÀNG</v>
      </c>
      <c r="Z11" s="5" t="s">
        <v>372</v>
      </c>
    </row>
    <row r="12">
      <c r="A12" s="5" t="s">
        <v>131</v>
      </c>
      <c r="B12" s="5" t="s">
        <v>374</v>
      </c>
      <c r="C12" s="5" t="s">
        <v>172</v>
      </c>
      <c r="D12" s="5" t="s">
        <v>376</v>
      </c>
      <c r="E12" s="5" t="s">
        <v>377</v>
      </c>
      <c r="F12" s="5" t="s">
        <v>379</v>
      </c>
      <c r="G12" s="5" t="s">
        <v>279</v>
      </c>
      <c r="H12" s="5" t="s">
        <v>381</v>
      </c>
      <c r="I12" s="5" t="s">
        <v>13</v>
      </c>
      <c r="J12" s="5" t="s">
        <v>9</v>
      </c>
      <c r="K12" s="5" t="s">
        <v>13</v>
      </c>
      <c r="L12" s="5" t="s">
        <v>35</v>
      </c>
      <c r="M12" s="5" t="s">
        <v>72</v>
      </c>
      <c r="N12" s="9">
        <v>46306.0</v>
      </c>
      <c r="O12" s="5" t="s">
        <v>76</v>
      </c>
      <c r="P12" s="11" t="str">
        <f t="shared" si="1"/>
        <v>0/0</v>
      </c>
      <c r="Q12" s="11" t="str">
        <f t="shared" si="2"/>
        <v>0/0</v>
      </c>
      <c r="R12" s="11" t="str">
        <f t="shared" si="3"/>
        <v>0/0</v>
      </c>
      <c r="S12" s="11" t="str">
        <f t="shared" si="4"/>
        <v>0/0</v>
      </c>
      <c r="T12" s="11" t="str">
        <f t="shared" si="5"/>
        <v>0/0</v>
      </c>
      <c r="U12" s="11" t="str">
        <f t="shared" si="6"/>
        <v>0/0</v>
      </c>
      <c r="V12" s="11" t="str">
        <f t="shared" si="7"/>
        <v>0/0</v>
      </c>
      <c r="W12" s="11" t="str">
        <f t="shared" si="8"/>
        <v>0/0</v>
      </c>
      <c r="X12" s="11">
        <f t="shared" si="9"/>
        <v>0</v>
      </c>
      <c r="Y12" s="11" t="str">
        <f t="shared" si="10"/>
        <v>CHƯA SẴN SÀNG</v>
      </c>
      <c r="Z12" s="5" t="s">
        <v>393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5.5"/>
    <col customWidth="1" min="3" max="3" width="14.5"/>
    <col customWidth="1" min="4" max="4" width="16.63"/>
    <col customWidth="1" min="5" max="5" width="12.88"/>
    <col customWidth="1" min="6" max="6" width="18.88"/>
    <col customWidth="1" min="7" max="7" width="12.38"/>
    <col customWidth="1" min="8" max="8" width="14.13"/>
    <col customWidth="1" min="9" max="9" width="19.0"/>
    <col customWidth="1" min="10" max="10" width="20.63"/>
    <col customWidth="1" min="11" max="11" width="7.75"/>
  </cols>
  <sheetData>
    <row r="1">
      <c r="A1" s="1" t="s">
        <v>0</v>
      </c>
      <c r="B1" s="1" t="s">
        <v>4</v>
      </c>
      <c r="C1" s="1" t="s">
        <v>9</v>
      </c>
      <c r="D1" s="1" t="s">
        <v>13</v>
      </c>
      <c r="E1" s="1" t="s">
        <v>18</v>
      </c>
      <c r="F1" s="1" t="s">
        <v>21</v>
      </c>
      <c r="G1" s="1" t="s">
        <v>26</v>
      </c>
      <c r="H1" s="1" t="s">
        <v>29</v>
      </c>
      <c r="I1" s="1" t="s">
        <v>33</v>
      </c>
      <c r="J1" s="1" t="s">
        <v>35</v>
      </c>
      <c r="K1" s="1" t="s">
        <v>40</v>
      </c>
    </row>
    <row r="2">
      <c r="A2" s="5" t="s">
        <v>47</v>
      </c>
      <c r="B2" s="5" t="s">
        <v>57</v>
      </c>
      <c r="C2" s="5" t="s">
        <v>58</v>
      </c>
      <c r="D2" s="5" t="s">
        <v>59</v>
      </c>
      <c r="E2" s="5" t="s">
        <v>60</v>
      </c>
      <c r="F2" s="5" t="s">
        <v>58</v>
      </c>
      <c r="G2" s="5" t="s">
        <v>61</v>
      </c>
      <c r="H2" s="5" t="s">
        <v>60</v>
      </c>
      <c r="I2" s="5" t="s">
        <v>60</v>
      </c>
      <c r="J2" s="5" t="s">
        <v>59</v>
      </c>
      <c r="K2" s="11" t="str">
        <f t="shared" ref="K2:K12" si="1">IF(COUNTIF(C2:J2,"A")=1,"ĐẠT","LỖI")</f>
        <v>ĐẠT</v>
      </c>
    </row>
    <row r="3">
      <c r="A3" s="5" t="s">
        <v>85</v>
      </c>
      <c r="B3" s="5" t="s">
        <v>87</v>
      </c>
      <c r="C3" s="5" t="s">
        <v>58</v>
      </c>
      <c r="D3" s="5" t="s">
        <v>60</v>
      </c>
      <c r="E3" s="5" t="s">
        <v>61</v>
      </c>
      <c r="F3" s="5" t="s">
        <v>59</v>
      </c>
      <c r="G3" s="5" t="s">
        <v>60</v>
      </c>
      <c r="H3" s="5" t="s">
        <v>58</v>
      </c>
      <c r="I3" s="5" t="s">
        <v>60</v>
      </c>
      <c r="J3" s="5" t="s">
        <v>59</v>
      </c>
      <c r="K3" s="11" t="str">
        <f t="shared" si="1"/>
        <v>ĐẠT</v>
      </c>
    </row>
    <row r="4">
      <c r="A4" s="5" t="s">
        <v>93</v>
      </c>
      <c r="B4" s="5" t="s">
        <v>95</v>
      </c>
      <c r="C4" s="5" t="s">
        <v>59</v>
      </c>
      <c r="D4" s="5" t="s">
        <v>60</v>
      </c>
      <c r="E4" s="5" t="s">
        <v>59</v>
      </c>
      <c r="F4" s="5" t="s">
        <v>61</v>
      </c>
      <c r="G4" s="5" t="s">
        <v>60</v>
      </c>
      <c r="H4" s="5" t="s">
        <v>58</v>
      </c>
      <c r="I4" s="5" t="s">
        <v>60</v>
      </c>
      <c r="J4" s="5" t="s">
        <v>59</v>
      </c>
      <c r="K4" s="11" t="str">
        <f t="shared" si="1"/>
        <v>ĐẠT</v>
      </c>
    </row>
    <row r="5">
      <c r="A5" s="5" t="s">
        <v>98</v>
      </c>
      <c r="B5" s="5" t="s">
        <v>99</v>
      </c>
      <c r="C5" s="5" t="s">
        <v>59</v>
      </c>
      <c r="D5" s="5" t="s">
        <v>60</v>
      </c>
      <c r="E5" s="5" t="s">
        <v>60</v>
      </c>
      <c r="F5" s="5" t="s">
        <v>58</v>
      </c>
      <c r="G5" s="5" t="s">
        <v>60</v>
      </c>
      <c r="H5" s="5" t="s">
        <v>60</v>
      </c>
      <c r="I5" s="5" t="s">
        <v>61</v>
      </c>
      <c r="J5" s="5" t="s">
        <v>59</v>
      </c>
      <c r="K5" s="11" t="str">
        <f t="shared" si="1"/>
        <v>ĐẠT</v>
      </c>
    </row>
    <row r="6">
      <c r="A6" s="5" t="s">
        <v>104</v>
      </c>
      <c r="B6" s="5" t="s">
        <v>106</v>
      </c>
      <c r="C6" s="5" t="s">
        <v>58</v>
      </c>
      <c r="D6" s="5" t="s">
        <v>59</v>
      </c>
      <c r="E6" s="5" t="s">
        <v>60</v>
      </c>
      <c r="F6" s="5" t="s">
        <v>60</v>
      </c>
      <c r="G6" s="5" t="s">
        <v>60</v>
      </c>
      <c r="H6" s="5" t="s">
        <v>61</v>
      </c>
      <c r="I6" s="5" t="s">
        <v>58</v>
      </c>
      <c r="J6" s="5" t="s">
        <v>59</v>
      </c>
      <c r="K6" s="11" t="str">
        <f t="shared" si="1"/>
        <v>ĐẠT</v>
      </c>
    </row>
    <row r="7">
      <c r="A7" s="5" t="s">
        <v>110</v>
      </c>
      <c r="B7" s="5" t="s">
        <v>112</v>
      </c>
      <c r="C7" s="5" t="s">
        <v>59</v>
      </c>
      <c r="D7" s="5" t="s">
        <v>60</v>
      </c>
      <c r="E7" s="5" t="s">
        <v>58</v>
      </c>
      <c r="F7" s="5" t="s">
        <v>60</v>
      </c>
      <c r="G7" s="5" t="s">
        <v>60</v>
      </c>
      <c r="H7" s="5" t="s">
        <v>58</v>
      </c>
      <c r="I7" s="5" t="s">
        <v>61</v>
      </c>
      <c r="J7" s="5" t="s">
        <v>59</v>
      </c>
      <c r="K7" s="11" t="str">
        <f t="shared" si="1"/>
        <v>ĐẠT</v>
      </c>
    </row>
    <row r="8">
      <c r="A8" s="5" t="s">
        <v>115</v>
      </c>
      <c r="B8" s="5" t="s">
        <v>117</v>
      </c>
      <c r="C8" s="5" t="s">
        <v>61</v>
      </c>
      <c r="D8" s="5" t="s">
        <v>59</v>
      </c>
      <c r="E8" s="5" t="s">
        <v>58</v>
      </c>
      <c r="F8" s="5" t="s">
        <v>60</v>
      </c>
      <c r="G8" s="5" t="s">
        <v>58</v>
      </c>
      <c r="H8" s="5" t="s">
        <v>59</v>
      </c>
      <c r="I8" s="5" t="s">
        <v>58</v>
      </c>
      <c r="J8" s="5" t="s">
        <v>59</v>
      </c>
      <c r="K8" s="11" t="str">
        <f t="shared" si="1"/>
        <v>ĐẠT</v>
      </c>
    </row>
    <row r="9">
      <c r="A9" s="5" t="s">
        <v>66</v>
      </c>
      <c r="B9" s="5" t="s">
        <v>120</v>
      </c>
      <c r="C9" s="5" t="s">
        <v>58</v>
      </c>
      <c r="D9" s="5" t="s">
        <v>60</v>
      </c>
      <c r="E9" s="5" t="s">
        <v>60</v>
      </c>
      <c r="F9" s="5" t="s">
        <v>60</v>
      </c>
      <c r="G9" s="5" t="s">
        <v>59</v>
      </c>
      <c r="H9" s="5" t="s">
        <v>61</v>
      </c>
      <c r="I9" s="5" t="s">
        <v>60</v>
      </c>
      <c r="J9" s="5" t="s">
        <v>58</v>
      </c>
      <c r="K9" s="11" t="str">
        <f t="shared" si="1"/>
        <v>ĐẠT</v>
      </c>
    </row>
    <row r="10">
      <c r="A10" s="5" t="s">
        <v>123</v>
      </c>
      <c r="B10" s="5" t="s">
        <v>124</v>
      </c>
      <c r="C10" s="5" t="s">
        <v>59</v>
      </c>
      <c r="D10" s="5" t="s">
        <v>61</v>
      </c>
      <c r="E10" s="5" t="s">
        <v>60</v>
      </c>
      <c r="F10" s="5" t="s">
        <v>60</v>
      </c>
      <c r="G10" s="5" t="s">
        <v>59</v>
      </c>
      <c r="H10" s="5" t="s">
        <v>58</v>
      </c>
      <c r="I10" s="5" t="s">
        <v>59</v>
      </c>
      <c r="J10" s="5" t="s">
        <v>58</v>
      </c>
      <c r="K10" s="11" t="str">
        <f t="shared" si="1"/>
        <v>ĐẠT</v>
      </c>
    </row>
    <row r="11">
      <c r="A11" s="5" t="s">
        <v>129</v>
      </c>
      <c r="B11" s="5" t="s">
        <v>130</v>
      </c>
      <c r="C11" s="5" t="s">
        <v>59</v>
      </c>
      <c r="D11" s="5" t="s">
        <v>59</v>
      </c>
      <c r="E11" s="5" t="s">
        <v>60</v>
      </c>
      <c r="F11" s="5" t="s">
        <v>60</v>
      </c>
      <c r="G11" s="5" t="s">
        <v>58</v>
      </c>
      <c r="H11" s="5" t="s">
        <v>59</v>
      </c>
      <c r="I11" s="5" t="s">
        <v>58</v>
      </c>
      <c r="J11" s="5" t="s">
        <v>61</v>
      </c>
      <c r="K11" s="11" t="str">
        <f t="shared" si="1"/>
        <v>ĐẠT</v>
      </c>
    </row>
    <row r="12">
      <c r="A12" s="5" t="s">
        <v>131</v>
      </c>
      <c r="B12" s="5" t="s">
        <v>132</v>
      </c>
      <c r="C12" s="5" t="s">
        <v>58</v>
      </c>
      <c r="D12" s="5" t="s">
        <v>61</v>
      </c>
      <c r="E12" s="5" t="s">
        <v>59</v>
      </c>
      <c r="F12" s="5" t="s">
        <v>60</v>
      </c>
      <c r="G12" s="5" t="s">
        <v>60</v>
      </c>
      <c r="H12" s="5" t="s">
        <v>60</v>
      </c>
      <c r="I12" s="5" t="s">
        <v>60</v>
      </c>
      <c r="J12" s="5" t="s">
        <v>59</v>
      </c>
      <c r="K12" s="11" t="str">
        <f t="shared" si="1"/>
        <v>ĐẠT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8.88"/>
    <col customWidth="1" min="3" max="3" width="18.0"/>
    <col customWidth="1" min="4" max="4" width="32.88"/>
    <col customWidth="1" min="5" max="5" width="28.0"/>
    <col customWidth="1" min="6" max="6" width="35.63"/>
    <col customWidth="1" min="7" max="7" width="21.88"/>
    <col customWidth="1" min="8" max="8" width="38.88"/>
    <col customWidth="1" min="9" max="9" width="24.5"/>
    <col customWidth="1" min="10" max="10" width="24.25"/>
    <col customWidth="1" min="11" max="11" width="12.88"/>
  </cols>
  <sheetData>
    <row r="1">
      <c r="A1" s="3" t="s">
        <v>0</v>
      </c>
      <c r="B1" s="3" t="s">
        <v>4</v>
      </c>
      <c r="C1" s="3" t="s">
        <v>8</v>
      </c>
      <c r="D1" s="3" t="s">
        <v>12</v>
      </c>
      <c r="E1" s="3" t="s">
        <v>17</v>
      </c>
      <c r="F1" s="3" t="s">
        <v>22</v>
      </c>
      <c r="G1" s="3" t="s">
        <v>27</v>
      </c>
      <c r="H1" s="3" t="s">
        <v>32</v>
      </c>
      <c r="I1" s="3" t="s">
        <v>37</v>
      </c>
      <c r="J1" s="3" t="s">
        <v>41</v>
      </c>
      <c r="K1" s="3" t="s">
        <v>43</v>
      </c>
    </row>
    <row r="2">
      <c r="A2" s="4" t="s">
        <v>47</v>
      </c>
      <c r="B2" s="4" t="s">
        <v>56</v>
      </c>
      <c r="C2" s="4" t="b">
        <v>0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4" t="b">
        <v>0</v>
      </c>
      <c r="K2" s="12" t="str">
        <f t="shared" ref="K2:K12" si="1">IF(COUNTIF(C2:J2,TRUE)=8,"SẴN SÀNG PROMPT","CHƯA SẴN SÀNG")</f>
        <v>CHƯA SẴN SÀNG</v>
      </c>
    </row>
    <row r="3">
      <c r="A3" s="4" t="s">
        <v>85</v>
      </c>
      <c r="B3" s="4" t="s">
        <v>92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12" t="str">
        <f t="shared" si="1"/>
        <v>CHƯA SẴN SÀNG</v>
      </c>
    </row>
    <row r="4">
      <c r="A4" s="4" t="s">
        <v>93</v>
      </c>
      <c r="B4" s="4" t="s">
        <v>100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12" t="str">
        <f t="shared" si="1"/>
        <v>CHƯA SẴN SÀNG</v>
      </c>
    </row>
    <row r="5">
      <c r="A5" s="4" t="s">
        <v>98</v>
      </c>
      <c r="B5" s="4" t="s">
        <v>108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12" t="str">
        <f t="shared" si="1"/>
        <v>CHƯA SẴN SÀNG</v>
      </c>
    </row>
    <row r="6">
      <c r="A6" s="4" t="s">
        <v>104</v>
      </c>
      <c r="B6" s="4" t="s">
        <v>119</v>
      </c>
      <c r="C6" s="4" t="b">
        <v>0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12" t="str">
        <f t="shared" si="1"/>
        <v>CHƯA SẴN SÀNG</v>
      </c>
    </row>
    <row r="7">
      <c r="A7" s="4" t="s">
        <v>110</v>
      </c>
      <c r="B7" s="4" t="s">
        <v>127</v>
      </c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12" t="str">
        <f t="shared" si="1"/>
        <v>CHƯA SẴN SÀNG</v>
      </c>
    </row>
    <row r="8">
      <c r="A8" s="4" t="s">
        <v>115</v>
      </c>
      <c r="B8" s="4" t="s">
        <v>128</v>
      </c>
      <c r="C8" s="4" t="b">
        <v>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12" t="str">
        <f t="shared" si="1"/>
        <v>CHƯA SẴN SÀNG</v>
      </c>
    </row>
    <row r="9">
      <c r="A9" s="4" t="s">
        <v>66</v>
      </c>
      <c r="B9" s="4" t="s">
        <v>133</v>
      </c>
      <c r="C9" s="4" t="b">
        <v>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1</v>
      </c>
      <c r="J9" s="4" t="b">
        <v>1</v>
      </c>
      <c r="K9" s="12" t="str">
        <f t="shared" si="1"/>
        <v>SẴN SÀNG PROMPT</v>
      </c>
    </row>
    <row r="10">
      <c r="A10" s="4" t="s">
        <v>123</v>
      </c>
      <c r="B10" s="4" t="s">
        <v>134</v>
      </c>
      <c r="C10" s="4" t="b">
        <v>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  <c r="I10" s="4" t="b">
        <v>1</v>
      </c>
      <c r="J10" s="4" t="b">
        <v>1</v>
      </c>
      <c r="K10" s="12" t="str">
        <f t="shared" si="1"/>
        <v>SẴN SÀNG PROMPT</v>
      </c>
    </row>
    <row r="11">
      <c r="A11" s="4" t="s">
        <v>129</v>
      </c>
      <c r="B11" s="4" t="s">
        <v>135</v>
      </c>
      <c r="C11" s="4" t="b">
        <v>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12" t="str">
        <f t="shared" si="1"/>
        <v>CHƯA SẴN SÀNG</v>
      </c>
    </row>
    <row r="12">
      <c r="A12" s="4" t="s">
        <v>131</v>
      </c>
      <c r="B12" s="4" t="s">
        <v>136</v>
      </c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12" t="str">
        <f t="shared" si="1"/>
        <v>CHƯA SẴN SÀNG</v>
      </c>
    </row>
  </sheetData>
  <conditionalFormatting sqref="K2:K12">
    <cfRule type="cellIs" dxfId="5" priority="1" stopIfTrue="1" operator="equal">
      <formula>"SẴN SÀNG PROMPT"</formula>
    </cfRule>
  </conditionalFormatting>
  <conditionalFormatting sqref="K2:K12">
    <cfRule type="cellIs" dxfId="6" priority="2" stopIfTrue="1" operator="equal">
      <formula>"CHƯA SẴN SÀNG"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38"/>
    <col customWidth="1" min="3" max="3" width="5.88"/>
    <col customWidth="1" min="4" max="4" width="11.13"/>
    <col customWidth="1" min="5" max="5" width="14.13"/>
    <col customWidth="1" min="6" max="6" width="9.0"/>
    <col customWidth="1" min="7" max="7" width="31.63"/>
    <col customWidth="1" min="8" max="8" width="88.13"/>
    <col customWidth="1" min="9" max="9" width="7.0"/>
    <col customWidth="1" min="10" max="10" width="58.75"/>
    <col customWidth="1" min="11" max="11" width="35.63"/>
    <col customWidth="1" min="12" max="12" width="9.63"/>
  </cols>
  <sheetData>
    <row r="1">
      <c r="A1" s="3" t="s">
        <v>150</v>
      </c>
      <c r="B1" s="3" t="s">
        <v>151</v>
      </c>
      <c r="C1" s="3" t="s">
        <v>152</v>
      </c>
      <c r="D1" s="3" t="s">
        <v>153</v>
      </c>
      <c r="E1" s="3" t="s">
        <v>154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</row>
    <row r="2">
      <c r="A2" s="15" t="s">
        <v>162</v>
      </c>
      <c r="B2" s="15" t="s">
        <v>163</v>
      </c>
      <c r="C2" s="15" t="s">
        <v>47</v>
      </c>
      <c r="D2" s="15" t="s">
        <v>26</v>
      </c>
      <c r="E2" s="15" t="s">
        <v>164</v>
      </c>
      <c r="F2" s="15" t="s">
        <v>165</v>
      </c>
      <c r="G2" s="15" t="s">
        <v>166</v>
      </c>
      <c r="H2" s="15" t="s">
        <v>167</v>
      </c>
      <c r="I2" s="15" t="s">
        <v>168</v>
      </c>
      <c r="J2" s="15" t="s">
        <v>169</v>
      </c>
      <c r="K2" s="15" t="s">
        <v>170</v>
      </c>
      <c r="L2" s="16">
        <v>46307.0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</cols>
  <sheetData>
    <row r="1">
      <c r="A1" s="17" t="s">
        <v>177</v>
      </c>
    </row>
    <row r="2">
      <c r="A2" s="17" t="s">
        <v>178</v>
      </c>
    </row>
    <row r="3">
      <c r="A3" s="17" t="s">
        <v>179</v>
      </c>
    </row>
    <row r="4">
      <c r="A4" s="17" t="s">
        <v>180</v>
      </c>
    </row>
    <row r="5">
      <c r="A5" s="18"/>
    </row>
    <row r="6">
      <c r="A6" s="17" t="s">
        <v>181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4.88"/>
    <col customWidth="1" min="3" max="3" width="140.0"/>
    <col customWidth="1" min="4" max="4" width="31.0"/>
    <col customWidth="1" min="5" max="5" width="9.63"/>
    <col customWidth="1" min="6" max="6" width="16.38"/>
  </cols>
  <sheetData>
    <row r="1">
      <c r="A1" s="3" t="s">
        <v>195</v>
      </c>
      <c r="B1" s="3" t="s">
        <v>200</v>
      </c>
      <c r="C1" s="3" t="s">
        <v>203</v>
      </c>
      <c r="D1" s="3" t="s">
        <v>205</v>
      </c>
      <c r="E1" s="3" t="s">
        <v>206</v>
      </c>
      <c r="F1" s="3" t="s">
        <v>24</v>
      </c>
    </row>
    <row r="2">
      <c r="A2" s="4">
        <v>1.0</v>
      </c>
      <c r="B2" s="4" t="s">
        <v>212</v>
      </c>
      <c r="C2" s="4" t="s">
        <v>213</v>
      </c>
      <c r="D2" s="4" t="s">
        <v>13</v>
      </c>
      <c r="E2" s="23">
        <v>46327.0</v>
      </c>
      <c r="F2" s="4" t="s">
        <v>217</v>
      </c>
    </row>
    <row r="3">
      <c r="A3" s="4">
        <v>2.0</v>
      </c>
      <c r="B3" s="4" t="s">
        <v>221</v>
      </c>
      <c r="C3" s="4" t="s">
        <v>222</v>
      </c>
      <c r="D3" s="4" t="s">
        <v>223</v>
      </c>
      <c r="E3" s="24">
        <v>46313.0</v>
      </c>
      <c r="F3" s="4" t="s">
        <v>225</v>
      </c>
    </row>
    <row r="4">
      <c r="A4" s="4">
        <v>3.0</v>
      </c>
      <c r="B4" s="4" t="s">
        <v>229</v>
      </c>
      <c r="C4" s="4" t="s">
        <v>231</v>
      </c>
      <c r="D4" s="4" t="s">
        <v>233</v>
      </c>
      <c r="E4" s="24">
        <v>46313.0</v>
      </c>
      <c r="F4" s="4" t="s">
        <v>225</v>
      </c>
    </row>
    <row r="5">
      <c r="A5" s="4">
        <v>4.0</v>
      </c>
      <c r="B5" s="4" t="s">
        <v>237</v>
      </c>
      <c r="C5" s="4" t="s">
        <v>238</v>
      </c>
      <c r="D5" s="4" t="s">
        <v>9</v>
      </c>
      <c r="E5" s="24">
        <v>46320.0</v>
      </c>
      <c r="F5" s="4" t="s">
        <v>239</v>
      </c>
    </row>
    <row r="6">
      <c r="A6" s="4">
        <v>5.0</v>
      </c>
      <c r="B6" s="4" t="s">
        <v>241</v>
      </c>
      <c r="C6" s="4" t="s">
        <v>244</v>
      </c>
      <c r="D6" s="4" t="s">
        <v>245</v>
      </c>
      <c r="E6" s="24">
        <v>46313.0</v>
      </c>
      <c r="F6" s="4" t="s">
        <v>239</v>
      </c>
    </row>
    <row r="7">
      <c r="A7" s="4">
        <v>6.0</v>
      </c>
      <c r="B7" s="4" t="s">
        <v>248</v>
      </c>
      <c r="C7" s="4" t="s">
        <v>249</v>
      </c>
      <c r="D7" s="4" t="s">
        <v>9</v>
      </c>
      <c r="E7" s="24">
        <v>46306.0</v>
      </c>
      <c r="F7" s="4" t="s">
        <v>250</v>
      </c>
    </row>
    <row r="8">
      <c r="A8" s="4">
        <v>7.0</v>
      </c>
      <c r="B8" s="4" t="s">
        <v>252</v>
      </c>
      <c r="C8" s="4" t="s">
        <v>253</v>
      </c>
      <c r="D8" s="4" t="s">
        <v>255</v>
      </c>
      <c r="E8" s="24">
        <v>46306.0</v>
      </c>
      <c r="F8" s="4" t="s">
        <v>258</v>
      </c>
    </row>
    <row r="9">
      <c r="A9" s="4">
        <v>8.0</v>
      </c>
      <c r="B9" s="4" t="s">
        <v>260</v>
      </c>
      <c r="C9" s="4" t="s">
        <v>261</v>
      </c>
      <c r="D9" s="4" t="s">
        <v>13</v>
      </c>
      <c r="E9" s="23">
        <v>46299.0</v>
      </c>
      <c r="F9" s="4" t="s">
        <v>262</v>
      </c>
    </row>
    <row r="10">
      <c r="A10" s="4">
        <v>9.0</v>
      </c>
      <c r="B10" s="4" t="s">
        <v>263</v>
      </c>
      <c r="C10" s="4" t="s">
        <v>264</v>
      </c>
      <c r="D10" s="4" t="s">
        <v>13</v>
      </c>
      <c r="E10" s="24">
        <v>46306.0</v>
      </c>
      <c r="F10" s="4" t="s">
        <v>239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6.75"/>
    <col customWidth="1" min="3" max="3" width="18.63"/>
    <col customWidth="1" min="4" max="5" width="13.13"/>
    <col customWidth="1" min="6" max="6" width="11.88"/>
    <col customWidth="1" min="7" max="7" width="17.88"/>
    <col customWidth="1" min="8" max="8" width="5.5"/>
    <col customWidth="1" min="9" max="9" width="78.88"/>
    <col customWidth="1" min="10" max="10" width="7.38"/>
  </cols>
  <sheetData>
    <row r="1">
      <c r="A1" s="19" t="s">
        <v>188</v>
      </c>
      <c r="B1" s="19" t="s">
        <v>189</v>
      </c>
      <c r="C1" s="19" t="s">
        <v>190</v>
      </c>
      <c r="D1" s="20" t="s">
        <v>193</v>
      </c>
      <c r="E1" s="20" t="s">
        <v>196</v>
      </c>
      <c r="F1" s="19" t="s">
        <v>198</v>
      </c>
      <c r="G1" s="19" t="s">
        <v>199</v>
      </c>
      <c r="H1" s="19" t="s">
        <v>152</v>
      </c>
      <c r="I1" s="19" t="s">
        <v>201</v>
      </c>
      <c r="J1" s="19" t="s">
        <v>202</v>
      </c>
    </row>
    <row r="2">
      <c r="A2" s="21" t="s">
        <v>204</v>
      </c>
      <c r="B2" s="21" t="s">
        <v>49</v>
      </c>
      <c r="C2" s="21" t="s">
        <v>9</v>
      </c>
      <c r="D2" s="17" t="s">
        <v>207</v>
      </c>
      <c r="E2" s="17" t="s">
        <v>208</v>
      </c>
      <c r="F2" s="21" t="s">
        <v>209</v>
      </c>
      <c r="G2" s="21" t="s">
        <v>210</v>
      </c>
      <c r="H2" s="21" t="s">
        <v>131</v>
      </c>
      <c r="I2" s="21" t="s">
        <v>211</v>
      </c>
      <c r="J2" s="22" t="str">
        <f>IF(COUNTIF(Tasks!$S$2:$S$137,"*"&amp;A2&amp;"*")&gt;0,"ĐÃ MAP","CHƯA MAP")</f>
        <v>#ERROR!</v>
      </c>
    </row>
    <row r="3">
      <c r="A3" s="21" t="s">
        <v>214</v>
      </c>
      <c r="B3" s="21" t="s">
        <v>49</v>
      </c>
      <c r="C3" s="21" t="s">
        <v>13</v>
      </c>
      <c r="D3" s="17" t="s">
        <v>215</v>
      </c>
      <c r="E3" s="17" t="s">
        <v>216</v>
      </c>
      <c r="F3" s="21" t="s">
        <v>218</v>
      </c>
      <c r="G3" s="21" t="s">
        <v>219</v>
      </c>
      <c r="H3" s="21" t="s">
        <v>123</v>
      </c>
      <c r="I3" s="21" t="s">
        <v>220</v>
      </c>
      <c r="J3" s="22" t="str">
        <f>IF(COUNTIF(Tasks!$S$2:$S$137,"*"&amp;A3&amp;"*")&gt;0,"ĐÃ MAP","CHƯA MAP")</f>
        <v>#ERROR!</v>
      </c>
    </row>
    <row r="4">
      <c r="A4" s="21" t="s">
        <v>224</v>
      </c>
      <c r="B4" s="21" t="s">
        <v>49</v>
      </c>
      <c r="C4" s="21" t="s">
        <v>26</v>
      </c>
      <c r="D4" s="17" t="s">
        <v>226</v>
      </c>
      <c r="E4" s="17" t="s">
        <v>228</v>
      </c>
      <c r="F4" s="21" t="s">
        <v>218</v>
      </c>
      <c r="G4" s="21" t="s">
        <v>230</v>
      </c>
      <c r="H4" s="21" t="s">
        <v>123</v>
      </c>
      <c r="I4" s="21" t="s">
        <v>232</v>
      </c>
      <c r="J4" s="22" t="str">
        <f>IF(COUNTIF(Tasks!$S$2:$S$137,"*"&amp;A4&amp;"*")&gt;0,"ĐÃ MAP","CHƯA MAP")</f>
        <v>#ERROR!</v>
      </c>
    </row>
    <row r="5">
      <c r="A5" s="21" t="s">
        <v>240</v>
      </c>
      <c r="B5" s="21" t="s">
        <v>49</v>
      </c>
      <c r="C5" s="21" t="s">
        <v>33</v>
      </c>
      <c r="D5" s="17" t="s">
        <v>242</v>
      </c>
      <c r="E5" s="17" t="s">
        <v>243</v>
      </c>
      <c r="F5" s="21" t="s">
        <v>209</v>
      </c>
      <c r="G5" s="21" t="s">
        <v>246</v>
      </c>
      <c r="H5" s="21" t="s">
        <v>98</v>
      </c>
      <c r="I5" s="21" t="s">
        <v>247</v>
      </c>
      <c r="J5" s="22" t="str">
        <f>IF(COUNTIF(Tasks!$S$2:$S$137,"*"&amp;A5&amp;"*")&gt;0,"ĐÃ MAP","CHƯA MAP")</f>
        <v>#ERROR!</v>
      </c>
    </row>
    <row r="6">
      <c r="A6" s="21" t="s">
        <v>251</v>
      </c>
      <c r="B6" s="21" t="s">
        <v>49</v>
      </c>
      <c r="C6" s="21" t="s">
        <v>18</v>
      </c>
      <c r="D6" s="17" t="s">
        <v>254</v>
      </c>
      <c r="E6" s="17" t="s">
        <v>256</v>
      </c>
      <c r="F6" s="21" t="s">
        <v>218</v>
      </c>
      <c r="G6" s="21" t="s">
        <v>257</v>
      </c>
      <c r="H6" s="21" t="s">
        <v>85</v>
      </c>
      <c r="I6" s="21" t="s">
        <v>259</v>
      </c>
      <c r="J6" s="22" t="str">
        <f>IF(COUNTIF(Tasks!$S$2:$S$137,"*"&amp;A6&amp;"*")&gt;0,"ĐÃ MAP","CHƯA MAP")</f>
        <v>#ERROR!</v>
      </c>
    </row>
    <row r="7">
      <c r="A7" s="21" t="s">
        <v>265</v>
      </c>
      <c r="B7" s="21" t="s">
        <v>49</v>
      </c>
      <c r="C7" s="21" t="s">
        <v>21</v>
      </c>
      <c r="D7" s="17" t="s">
        <v>266</v>
      </c>
      <c r="E7" s="17" t="s">
        <v>267</v>
      </c>
      <c r="F7" s="21" t="s">
        <v>218</v>
      </c>
      <c r="G7" s="21" t="s">
        <v>268</v>
      </c>
      <c r="H7" s="21" t="s">
        <v>47</v>
      </c>
      <c r="I7" s="21" t="s">
        <v>269</v>
      </c>
      <c r="J7" s="22" t="str">
        <f>IF(COUNTIF(Tasks!$S$2:$S$137,"*"&amp;A7&amp;"*")&gt;0,"ĐÃ MAP","CHƯA MAP")</f>
        <v>#ERROR!</v>
      </c>
    </row>
    <row r="8">
      <c r="A8" s="21" t="s">
        <v>270</v>
      </c>
      <c r="B8" s="21" t="s">
        <v>49</v>
      </c>
      <c r="C8" s="21" t="s">
        <v>35</v>
      </c>
      <c r="D8" s="17" t="s">
        <v>272</v>
      </c>
      <c r="E8" s="17" t="s">
        <v>273</v>
      </c>
      <c r="F8" s="21" t="s">
        <v>218</v>
      </c>
      <c r="G8" s="21" t="s">
        <v>274</v>
      </c>
      <c r="H8" s="21" t="s">
        <v>129</v>
      </c>
      <c r="I8" s="21" t="s">
        <v>275</v>
      </c>
      <c r="J8" s="22" t="str">
        <f>IF(COUNTIF(Tasks!$S$2:$S$137,"*"&amp;A8&amp;"*")&gt;0,"ĐÃ MAP","CHƯA MAP")</f>
        <v>#ERROR!</v>
      </c>
    </row>
    <row r="9">
      <c r="A9" s="21" t="s">
        <v>280</v>
      </c>
      <c r="B9" s="21" t="s">
        <v>49</v>
      </c>
      <c r="C9" s="21" t="s">
        <v>29</v>
      </c>
      <c r="D9" s="17" t="s">
        <v>281</v>
      </c>
      <c r="E9" s="17" t="s">
        <v>282</v>
      </c>
      <c r="F9" s="21" t="s">
        <v>218</v>
      </c>
      <c r="G9" s="21" t="s">
        <v>284</v>
      </c>
      <c r="H9" s="21" t="s">
        <v>66</v>
      </c>
      <c r="I9" s="21" t="s">
        <v>285</v>
      </c>
      <c r="J9" s="22" t="str">
        <f>IF(COUNTIF(Tasks!$S$2:$S$137,"*"&amp;A9&amp;"*")&gt;0,"ĐÃ MAP","CHƯA MAP")</f>
        <v>#ERROR!</v>
      </c>
    </row>
    <row r="10">
      <c r="A10" s="21" t="s">
        <v>286</v>
      </c>
      <c r="B10" s="21" t="s">
        <v>73</v>
      </c>
      <c r="C10" s="21" t="s">
        <v>9</v>
      </c>
      <c r="D10" s="17" t="s">
        <v>287</v>
      </c>
      <c r="E10" s="17" t="s">
        <v>288</v>
      </c>
      <c r="F10" s="21" t="s">
        <v>289</v>
      </c>
      <c r="G10" s="21" t="s">
        <v>290</v>
      </c>
      <c r="H10" s="21" t="s">
        <v>131</v>
      </c>
      <c r="I10" s="21" t="s">
        <v>291</v>
      </c>
      <c r="J10" s="22" t="str">
        <f>IF(COUNTIF(Tasks!$S$2:$S$137,"*"&amp;A10&amp;"*")&gt;0,"ĐÃ MAP","CHƯA MAP")</f>
        <v>#ERROR!</v>
      </c>
    </row>
    <row r="11">
      <c r="A11" s="21" t="s">
        <v>292</v>
      </c>
      <c r="B11" s="21" t="s">
        <v>73</v>
      </c>
      <c r="C11" s="21" t="s">
        <v>13</v>
      </c>
      <c r="D11" s="17" t="s">
        <v>293</v>
      </c>
      <c r="E11" s="17" t="s">
        <v>294</v>
      </c>
      <c r="F11" s="21" t="s">
        <v>209</v>
      </c>
      <c r="G11" s="21" t="s">
        <v>295</v>
      </c>
      <c r="H11" s="21" t="s">
        <v>131</v>
      </c>
      <c r="I11" s="21" t="s">
        <v>296</v>
      </c>
      <c r="J11" s="22" t="str">
        <f>IF(COUNTIF(Tasks!$S$2:$S$137,"*"&amp;A11&amp;"*")&gt;0,"ĐÃ MAP","CHƯA MAP")</f>
        <v>#ERROR!</v>
      </c>
    </row>
    <row r="12">
      <c r="A12" s="21" t="s">
        <v>297</v>
      </c>
      <c r="B12" s="21" t="s">
        <v>73</v>
      </c>
      <c r="C12" s="21" t="s">
        <v>26</v>
      </c>
      <c r="D12" s="17" t="s">
        <v>298</v>
      </c>
      <c r="E12" s="17" t="s">
        <v>299</v>
      </c>
      <c r="F12" s="21" t="s">
        <v>289</v>
      </c>
      <c r="G12" s="21" t="s">
        <v>300</v>
      </c>
      <c r="H12" s="21" t="s">
        <v>47</v>
      </c>
      <c r="I12" s="21" t="s">
        <v>301</v>
      </c>
      <c r="J12" s="22" t="str">
        <f>IF(COUNTIF(Tasks!$S$2:$S$137,"*"&amp;A12&amp;"*")&gt;0,"ĐÃ MAP","CHƯA MAP")</f>
        <v>#ERROR!</v>
      </c>
    </row>
    <row r="13">
      <c r="A13" s="21" t="s">
        <v>303</v>
      </c>
      <c r="B13" s="21" t="s">
        <v>73</v>
      </c>
      <c r="C13" s="21" t="s">
        <v>33</v>
      </c>
      <c r="D13" s="17" t="s">
        <v>304</v>
      </c>
      <c r="E13" s="17" t="s">
        <v>305</v>
      </c>
      <c r="F13" s="21" t="s">
        <v>289</v>
      </c>
      <c r="G13" s="21" t="s">
        <v>307</v>
      </c>
      <c r="H13" s="21" t="s">
        <v>98</v>
      </c>
      <c r="I13" s="21" t="s">
        <v>309</v>
      </c>
      <c r="J13" s="22" t="str">
        <f>IF(COUNTIF(Tasks!$S$2:$S$137,"*"&amp;A13&amp;"*")&gt;0,"ĐÃ MAP","CHƯA MAP")</f>
        <v>#ERROR!</v>
      </c>
    </row>
    <row r="14">
      <c r="A14" s="21" t="s">
        <v>313</v>
      </c>
      <c r="B14" s="21" t="s">
        <v>73</v>
      </c>
      <c r="C14" s="21" t="s">
        <v>18</v>
      </c>
      <c r="D14" s="17" t="s">
        <v>314</v>
      </c>
      <c r="E14" s="17" t="s">
        <v>315</v>
      </c>
      <c r="F14" s="21" t="s">
        <v>209</v>
      </c>
      <c r="G14" s="21" t="s">
        <v>316</v>
      </c>
      <c r="H14" s="21" t="s">
        <v>85</v>
      </c>
      <c r="I14" s="21" t="s">
        <v>317</v>
      </c>
      <c r="J14" s="22" t="str">
        <f>IF(COUNTIF(Tasks!$S$2:$S$137,"*"&amp;A14&amp;"*")&gt;0,"ĐÃ MAP","CHƯA MAP")</f>
        <v>#ERROR!</v>
      </c>
    </row>
    <row r="15">
      <c r="A15" s="21" t="s">
        <v>319</v>
      </c>
      <c r="B15" s="21" t="s">
        <v>73</v>
      </c>
      <c r="C15" s="21" t="s">
        <v>21</v>
      </c>
      <c r="D15" s="17" t="s">
        <v>320</v>
      </c>
      <c r="E15" s="17" t="s">
        <v>321</v>
      </c>
      <c r="F15" s="21" t="s">
        <v>289</v>
      </c>
      <c r="G15" s="21" t="s">
        <v>322</v>
      </c>
      <c r="H15" s="21" t="s">
        <v>47</v>
      </c>
      <c r="I15" s="21" t="s">
        <v>323</v>
      </c>
      <c r="J15" s="22" t="str">
        <f>IF(COUNTIF(Tasks!$S$2:$S$137,"*"&amp;A15&amp;"*")&gt;0,"ĐÃ MAP","CHƯA MAP")</f>
        <v>#ERROR!</v>
      </c>
    </row>
    <row r="16">
      <c r="A16" s="21" t="s">
        <v>324</v>
      </c>
      <c r="B16" s="21" t="s">
        <v>73</v>
      </c>
      <c r="C16" s="21" t="s">
        <v>35</v>
      </c>
      <c r="D16" s="17" t="s">
        <v>325</v>
      </c>
      <c r="E16" s="17" t="s">
        <v>326</v>
      </c>
      <c r="F16" s="21" t="s">
        <v>289</v>
      </c>
      <c r="G16" s="21" t="s">
        <v>327</v>
      </c>
      <c r="H16" s="21" t="s">
        <v>104</v>
      </c>
      <c r="I16" s="21" t="s">
        <v>328</v>
      </c>
      <c r="J16" s="22" t="str">
        <f>IF(COUNTIF(Tasks!$S$2:$S$137,"*"&amp;A16&amp;"*")&gt;0,"ĐÃ MAP","CHƯA MAP")</f>
        <v>#ERROR!</v>
      </c>
    </row>
    <row r="17">
      <c r="A17" s="21" t="s">
        <v>329</v>
      </c>
      <c r="B17" s="21" t="s">
        <v>73</v>
      </c>
      <c r="C17" s="21" t="s">
        <v>29</v>
      </c>
      <c r="D17" s="17" t="s">
        <v>330</v>
      </c>
      <c r="E17" s="17" t="s">
        <v>331</v>
      </c>
      <c r="F17" s="21" t="s">
        <v>289</v>
      </c>
      <c r="G17" s="21" t="s">
        <v>332</v>
      </c>
      <c r="H17" s="21" t="s">
        <v>66</v>
      </c>
      <c r="I17" s="21" t="s">
        <v>333</v>
      </c>
      <c r="J17" s="22" t="str">
        <f>IF(COUNTIF(Tasks!$S$2:$S$137,"*"&amp;A17&amp;"*")&gt;0,"ĐÃ MAP","CHƯA MAP")</f>
        <v>#ERROR!</v>
      </c>
    </row>
    <row r="18">
      <c r="A18" s="21" t="s">
        <v>334</v>
      </c>
      <c r="B18" s="21" t="s">
        <v>79</v>
      </c>
      <c r="C18" s="21" t="s">
        <v>9</v>
      </c>
      <c r="D18" s="17" t="s">
        <v>335</v>
      </c>
      <c r="E18" s="17" t="s">
        <v>336</v>
      </c>
      <c r="F18" s="21" t="s">
        <v>289</v>
      </c>
      <c r="G18" s="21" t="s">
        <v>337</v>
      </c>
      <c r="H18" s="21" t="s">
        <v>131</v>
      </c>
      <c r="I18" s="21" t="s">
        <v>338</v>
      </c>
      <c r="J18" s="22" t="str">
        <f>IF(COUNTIF(Tasks!$S$2:$S$137,"*"&amp;A18&amp;"*")&gt;0,"ĐÃ MAP","CHƯA MAP")</f>
        <v>#ERROR!</v>
      </c>
    </row>
    <row r="19">
      <c r="A19" s="21" t="s">
        <v>339</v>
      </c>
      <c r="B19" s="21" t="s">
        <v>79</v>
      </c>
      <c r="C19" s="21" t="s">
        <v>13</v>
      </c>
      <c r="D19" s="17" t="s">
        <v>340</v>
      </c>
      <c r="E19" s="17" t="s">
        <v>342</v>
      </c>
      <c r="F19" s="21" t="s">
        <v>289</v>
      </c>
      <c r="G19" s="21" t="s">
        <v>344</v>
      </c>
      <c r="H19" s="21" t="s">
        <v>123</v>
      </c>
      <c r="I19" s="21" t="s">
        <v>346</v>
      </c>
      <c r="J19" s="22" t="str">
        <f>IF(COUNTIF(Tasks!$S$2:$S$137,"*"&amp;A19&amp;"*")&gt;0,"ĐÃ MAP","CHƯA MAP")</f>
        <v>#ERROR!</v>
      </c>
    </row>
    <row r="20">
      <c r="A20" s="21" t="s">
        <v>353</v>
      </c>
      <c r="B20" s="21" t="s">
        <v>79</v>
      </c>
      <c r="C20" s="21" t="s">
        <v>26</v>
      </c>
      <c r="D20" s="17" t="s">
        <v>355</v>
      </c>
      <c r="E20" s="17" t="s">
        <v>357</v>
      </c>
      <c r="F20" s="21" t="s">
        <v>289</v>
      </c>
      <c r="G20" s="21" t="s">
        <v>358</v>
      </c>
      <c r="H20" s="21" t="s">
        <v>66</v>
      </c>
      <c r="I20" s="21" t="s">
        <v>360</v>
      </c>
      <c r="J20" s="22" t="str">
        <f>IF(COUNTIF(Tasks!$S$2:$S$137,"*"&amp;A20&amp;"*")&gt;0,"ĐÃ MAP","CHƯA MAP")</f>
        <v>#ERROR!</v>
      </c>
    </row>
    <row r="21">
      <c r="A21" s="21" t="s">
        <v>364</v>
      </c>
      <c r="B21" s="21" t="s">
        <v>79</v>
      </c>
      <c r="C21" s="21" t="s">
        <v>33</v>
      </c>
      <c r="D21" s="17" t="s">
        <v>366</v>
      </c>
      <c r="E21" s="17" t="s">
        <v>368</v>
      </c>
      <c r="F21" s="21" t="s">
        <v>289</v>
      </c>
      <c r="G21" s="21" t="s">
        <v>370</v>
      </c>
      <c r="H21" s="21" t="s">
        <v>98</v>
      </c>
      <c r="I21" s="21" t="s">
        <v>371</v>
      </c>
      <c r="J21" s="22" t="str">
        <f>IF(COUNTIF(Tasks!$S$2:$S$137,"*"&amp;A21&amp;"*")&gt;0,"ĐÃ MAP","CHƯA MAP")</f>
        <v>#ERROR!</v>
      </c>
    </row>
    <row r="22">
      <c r="A22" s="21" t="s">
        <v>380</v>
      </c>
      <c r="B22" s="21" t="s">
        <v>79</v>
      </c>
      <c r="C22" s="21" t="s">
        <v>18</v>
      </c>
      <c r="D22" s="17" t="s">
        <v>382</v>
      </c>
      <c r="E22" s="17" t="s">
        <v>384</v>
      </c>
      <c r="F22" s="21" t="s">
        <v>289</v>
      </c>
      <c r="G22" s="21" t="s">
        <v>386</v>
      </c>
      <c r="H22" s="21" t="s">
        <v>85</v>
      </c>
      <c r="I22" s="21" t="s">
        <v>387</v>
      </c>
      <c r="J22" s="22" t="str">
        <f>IF(COUNTIF(Tasks!$S$2:$S$137,"*"&amp;A22&amp;"*")&gt;0,"ĐÃ MAP","CHƯA MAP")</f>
        <v>#ERROR!</v>
      </c>
    </row>
    <row r="23">
      <c r="A23" s="21" t="s">
        <v>388</v>
      </c>
      <c r="B23" s="21" t="s">
        <v>79</v>
      </c>
      <c r="C23" s="21" t="s">
        <v>21</v>
      </c>
      <c r="D23" s="17" t="s">
        <v>389</v>
      </c>
      <c r="E23" s="17" t="s">
        <v>390</v>
      </c>
      <c r="F23" s="21" t="s">
        <v>289</v>
      </c>
      <c r="G23" s="21" t="s">
        <v>391</v>
      </c>
      <c r="H23" s="21" t="s">
        <v>47</v>
      </c>
      <c r="I23" s="21" t="s">
        <v>392</v>
      </c>
      <c r="J23" s="22" t="str">
        <f>IF(COUNTIF(Tasks!$S$2:$S$137,"*"&amp;A23&amp;"*")&gt;0,"ĐÃ MAP","CHƯA MAP")</f>
        <v>#ERROR!</v>
      </c>
    </row>
    <row r="24">
      <c r="A24" s="21" t="s">
        <v>394</v>
      </c>
      <c r="B24" s="21" t="s">
        <v>79</v>
      </c>
      <c r="C24" s="21" t="s">
        <v>35</v>
      </c>
      <c r="D24" s="17" t="s">
        <v>395</v>
      </c>
      <c r="E24" s="17" t="s">
        <v>396</v>
      </c>
      <c r="F24" s="21" t="s">
        <v>289</v>
      </c>
      <c r="G24" s="21" t="s">
        <v>397</v>
      </c>
      <c r="H24" s="21" t="s">
        <v>47</v>
      </c>
      <c r="I24" s="21" t="s">
        <v>398</v>
      </c>
      <c r="J24" s="22" t="str">
        <f>IF(COUNTIF(Tasks!$S$2:$S$137,"*"&amp;A24&amp;"*")&gt;0,"ĐÃ MAP","CHƯA MAP")</f>
        <v>#ERROR!</v>
      </c>
    </row>
    <row r="25">
      <c r="A25" s="21" t="s">
        <v>400</v>
      </c>
      <c r="B25" s="21" t="s">
        <v>79</v>
      </c>
      <c r="C25" s="21" t="s">
        <v>29</v>
      </c>
      <c r="D25" s="17" t="s">
        <v>401</v>
      </c>
      <c r="E25" s="17" t="s">
        <v>402</v>
      </c>
      <c r="F25" s="21" t="s">
        <v>289</v>
      </c>
      <c r="G25" s="21" t="s">
        <v>403</v>
      </c>
      <c r="H25" s="21" t="s">
        <v>66</v>
      </c>
      <c r="I25" s="21" t="s">
        <v>404</v>
      </c>
      <c r="J25" s="22" t="str">
        <f>IF(COUNTIF(Tasks!$S$2:$S$137,"*"&amp;A25&amp;"*")&gt;0,"ĐÃ MAP","CHƯA MAP")</f>
        <v>#ERROR!</v>
      </c>
    </row>
    <row r="26">
      <c r="A26" s="21" t="s">
        <v>405</v>
      </c>
      <c r="B26" s="21" t="s">
        <v>84</v>
      </c>
      <c r="C26" s="21" t="s">
        <v>9</v>
      </c>
      <c r="D26" s="17" t="s">
        <v>406</v>
      </c>
      <c r="E26" s="17" t="s">
        <v>407</v>
      </c>
      <c r="F26" s="21" t="s">
        <v>289</v>
      </c>
      <c r="G26" s="21" t="s">
        <v>408</v>
      </c>
      <c r="H26" s="21" t="s">
        <v>47</v>
      </c>
      <c r="I26" s="21" t="s">
        <v>409</v>
      </c>
      <c r="J26" s="22" t="str">
        <f>IF(COUNTIF(Tasks!$S$2:$S$137,"*"&amp;A26&amp;"*")&gt;0,"ĐÃ MAP","CHƯA MAP")</f>
        <v>#ERROR!</v>
      </c>
    </row>
    <row r="27">
      <c r="A27" s="21" t="s">
        <v>410</v>
      </c>
      <c r="B27" s="21" t="s">
        <v>84</v>
      </c>
      <c r="C27" s="21" t="s">
        <v>13</v>
      </c>
      <c r="D27" s="17" t="s">
        <v>411</v>
      </c>
      <c r="E27" s="17" t="s">
        <v>412</v>
      </c>
      <c r="F27" s="21" t="s">
        <v>289</v>
      </c>
      <c r="G27" s="21" t="s">
        <v>413</v>
      </c>
      <c r="H27" s="21" t="s">
        <v>131</v>
      </c>
      <c r="I27" s="21" t="s">
        <v>414</v>
      </c>
      <c r="J27" s="22" t="str">
        <f>IF(COUNTIF(Tasks!$S$2:$S$137,"*"&amp;A27&amp;"*")&gt;0,"ĐÃ MAP","CHƯA MAP")</f>
        <v>#ERROR!</v>
      </c>
    </row>
    <row r="28">
      <c r="A28" s="21" t="s">
        <v>415</v>
      </c>
      <c r="B28" s="21" t="s">
        <v>84</v>
      </c>
      <c r="C28" s="21" t="s">
        <v>26</v>
      </c>
      <c r="D28" s="17" t="s">
        <v>416</v>
      </c>
      <c r="E28" s="17" t="s">
        <v>417</v>
      </c>
      <c r="F28" s="21" t="s">
        <v>289</v>
      </c>
      <c r="G28" s="21" t="s">
        <v>418</v>
      </c>
      <c r="H28" s="21" t="s">
        <v>47</v>
      </c>
      <c r="I28" s="21" t="s">
        <v>419</v>
      </c>
      <c r="J28" s="22" t="str">
        <f>IF(COUNTIF(Tasks!$S$2:$S$137,"*"&amp;A28&amp;"*")&gt;0,"ĐÃ MAP","CHƯA MAP")</f>
        <v>#ERROR!</v>
      </c>
    </row>
    <row r="29">
      <c r="A29" s="21" t="s">
        <v>420</v>
      </c>
      <c r="B29" s="21" t="s">
        <v>84</v>
      </c>
      <c r="C29" s="21" t="s">
        <v>33</v>
      </c>
      <c r="D29" s="17" t="s">
        <v>421</v>
      </c>
      <c r="E29" s="17" t="s">
        <v>422</v>
      </c>
      <c r="F29" s="21" t="s">
        <v>289</v>
      </c>
      <c r="G29" s="21" t="s">
        <v>423</v>
      </c>
      <c r="H29" s="21" t="s">
        <v>104</v>
      </c>
      <c r="I29" s="21" t="s">
        <v>424</v>
      </c>
      <c r="J29" s="22" t="str">
        <f>IF(COUNTIF(Tasks!$S$2:$S$137,"*"&amp;A29&amp;"*")&gt;0,"ĐÃ MAP","CHƯA MAP")</f>
        <v>#ERROR!</v>
      </c>
    </row>
    <row r="30">
      <c r="A30" s="21" t="s">
        <v>425</v>
      </c>
      <c r="B30" s="21" t="s">
        <v>84</v>
      </c>
      <c r="C30" s="21" t="s">
        <v>18</v>
      </c>
      <c r="D30" s="17" t="s">
        <v>426</v>
      </c>
      <c r="E30" s="17" t="s">
        <v>427</v>
      </c>
      <c r="F30" s="21" t="s">
        <v>289</v>
      </c>
      <c r="G30" s="21" t="s">
        <v>428</v>
      </c>
      <c r="H30" s="21" t="s">
        <v>85</v>
      </c>
      <c r="I30" s="21" t="s">
        <v>429</v>
      </c>
      <c r="J30" s="22" t="str">
        <f>IF(COUNTIF(Tasks!$S$2:$S$137,"*"&amp;A30&amp;"*")&gt;0,"ĐÃ MAP","CHƯA MAP")</f>
        <v>#ERROR!</v>
      </c>
    </row>
    <row r="31">
      <c r="A31" s="21" t="s">
        <v>431</v>
      </c>
      <c r="B31" s="21" t="s">
        <v>84</v>
      </c>
      <c r="C31" s="21" t="s">
        <v>21</v>
      </c>
      <c r="D31" s="17" t="s">
        <v>432</v>
      </c>
      <c r="E31" s="17" t="s">
        <v>433</v>
      </c>
      <c r="F31" s="21" t="s">
        <v>289</v>
      </c>
      <c r="G31" s="21" t="s">
        <v>434</v>
      </c>
      <c r="H31" s="21" t="s">
        <v>47</v>
      </c>
      <c r="I31" s="21" t="s">
        <v>435</v>
      </c>
      <c r="J31" s="22" t="str">
        <f>IF(COUNTIF(Tasks!$S$2:$S$137,"*"&amp;A31&amp;"*")&gt;0,"ĐÃ MAP","CHƯA MAP")</f>
        <v>#ERROR!</v>
      </c>
    </row>
    <row r="32">
      <c r="A32" s="21" t="s">
        <v>436</v>
      </c>
      <c r="B32" s="21" t="s">
        <v>84</v>
      </c>
      <c r="C32" s="21" t="s">
        <v>35</v>
      </c>
      <c r="D32" s="17" t="s">
        <v>437</v>
      </c>
      <c r="E32" s="17" t="s">
        <v>438</v>
      </c>
      <c r="F32" s="21" t="s">
        <v>289</v>
      </c>
      <c r="G32" s="21" t="s">
        <v>439</v>
      </c>
      <c r="H32" s="21" t="s">
        <v>66</v>
      </c>
      <c r="I32" s="21" t="s">
        <v>440</v>
      </c>
      <c r="J32" s="22" t="str">
        <f>IF(COUNTIF(Tasks!$S$2:$S$137,"*"&amp;A32&amp;"*")&gt;0,"ĐÃ MAP","CHƯA MAP")</f>
        <v>#ERROR!</v>
      </c>
    </row>
    <row r="33">
      <c r="A33" s="21" t="s">
        <v>441</v>
      </c>
      <c r="B33" s="21" t="s">
        <v>84</v>
      </c>
      <c r="C33" s="21" t="s">
        <v>29</v>
      </c>
      <c r="D33" s="17" t="s">
        <v>442</v>
      </c>
      <c r="E33" s="17" t="s">
        <v>443</v>
      </c>
      <c r="F33" s="21" t="s">
        <v>289</v>
      </c>
      <c r="G33" s="21" t="s">
        <v>444</v>
      </c>
      <c r="H33" s="21" t="s">
        <v>66</v>
      </c>
      <c r="I33" s="21" t="s">
        <v>445</v>
      </c>
      <c r="J33" s="22" t="str">
        <f>IF(COUNTIF(Tasks!$S$2:$S$137,"*"&amp;A33&amp;"*")&gt;0,"ĐÃ MAP","CHƯA MAP")</f>
        <v>#ERROR!</v>
      </c>
    </row>
    <row r="34">
      <c r="A34" s="21" t="s">
        <v>446</v>
      </c>
      <c r="B34" s="21" t="s">
        <v>91</v>
      </c>
      <c r="C34" s="21" t="s">
        <v>9</v>
      </c>
      <c r="D34" s="17" t="s">
        <v>447</v>
      </c>
      <c r="E34" s="17" t="s">
        <v>448</v>
      </c>
      <c r="F34" s="21" t="s">
        <v>289</v>
      </c>
      <c r="G34" s="21" t="s">
        <v>449</v>
      </c>
      <c r="H34" s="21" t="s">
        <v>47</v>
      </c>
      <c r="I34" s="21" t="s">
        <v>450</v>
      </c>
      <c r="J34" s="22" t="str">
        <f>IF(COUNTIF(Tasks!$S$2:$S$137,"*"&amp;A34&amp;"*")&gt;0,"ĐÃ MAP","CHƯA MAP")</f>
        <v>#ERROR!</v>
      </c>
    </row>
    <row r="35">
      <c r="A35" s="21" t="s">
        <v>451</v>
      </c>
      <c r="B35" s="21" t="s">
        <v>91</v>
      </c>
      <c r="C35" s="21" t="s">
        <v>13</v>
      </c>
      <c r="D35" s="17" t="s">
        <v>452</v>
      </c>
      <c r="E35" s="17" t="s">
        <v>453</v>
      </c>
      <c r="F35" s="21" t="s">
        <v>289</v>
      </c>
      <c r="G35" s="21" t="s">
        <v>454</v>
      </c>
      <c r="H35" s="21" t="s">
        <v>123</v>
      </c>
      <c r="I35" s="21" t="s">
        <v>455</v>
      </c>
      <c r="J35" s="22" t="str">
        <f>IF(COUNTIF(Tasks!$S$2:$S$137,"*"&amp;A35&amp;"*")&gt;0,"ĐÃ MAP","CHƯA MAP")</f>
        <v>#ERROR!</v>
      </c>
    </row>
    <row r="36">
      <c r="A36" s="21" t="s">
        <v>457</v>
      </c>
      <c r="B36" s="21" t="s">
        <v>91</v>
      </c>
      <c r="C36" s="21" t="s">
        <v>26</v>
      </c>
      <c r="D36" s="17" t="s">
        <v>458</v>
      </c>
      <c r="E36" s="17" t="s">
        <v>459</v>
      </c>
      <c r="F36" s="21" t="s">
        <v>289</v>
      </c>
      <c r="G36" s="21" t="s">
        <v>460</v>
      </c>
      <c r="H36" s="21" t="s">
        <v>47</v>
      </c>
      <c r="I36" s="21" t="s">
        <v>461</v>
      </c>
      <c r="J36" s="22" t="str">
        <f>IF(COUNTIF(Tasks!$S$2:$S$137,"*"&amp;A36&amp;"*")&gt;0,"ĐÃ MAP","CHƯA MAP")</f>
        <v>#ERROR!</v>
      </c>
    </row>
    <row r="37">
      <c r="A37" s="21" t="s">
        <v>464</v>
      </c>
      <c r="B37" s="21" t="s">
        <v>91</v>
      </c>
      <c r="C37" s="21" t="s">
        <v>33</v>
      </c>
      <c r="D37" s="17" t="s">
        <v>466</v>
      </c>
      <c r="E37" s="17" t="s">
        <v>468</v>
      </c>
      <c r="F37" s="21" t="s">
        <v>289</v>
      </c>
      <c r="G37" s="21" t="s">
        <v>470</v>
      </c>
      <c r="H37" s="21" t="s">
        <v>104</v>
      </c>
      <c r="I37" s="21" t="s">
        <v>472</v>
      </c>
      <c r="J37" s="22" t="str">
        <f>IF(COUNTIF(Tasks!$S$2:$S$137,"*"&amp;A37&amp;"*")&gt;0,"ĐÃ MAP","CHƯA MAP")</f>
        <v>#ERROR!</v>
      </c>
    </row>
    <row r="38">
      <c r="A38" s="21" t="s">
        <v>474</v>
      </c>
      <c r="B38" s="21" t="s">
        <v>91</v>
      </c>
      <c r="C38" s="21" t="s">
        <v>18</v>
      </c>
      <c r="D38" s="17" t="s">
        <v>475</v>
      </c>
      <c r="E38" s="17" t="s">
        <v>476</v>
      </c>
      <c r="F38" s="21" t="s">
        <v>289</v>
      </c>
      <c r="G38" s="21" t="s">
        <v>477</v>
      </c>
      <c r="H38" s="21" t="s">
        <v>85</v>
      </c>
      <c r="I38" s="21" t="s">
        <v>478</v>
      </c>
      <c r="J38" s="22" t="str">
        <f>IF(COUNTIF(Tasks!$S$2:$S$137,"*"&amp;A38&amp;"*")&gt;0,"ĐÃ MAP","CHƯA MAP")</f>
        <v>#ERROR!</v>
      </c>
    </row>
    <row r="39">
      <c r="A39" s="21" t="s">
        <v>479</v>
      </c>
      <c r="B39" s="21" t="s">
        <v>91</v>
      </c>
      <c r="C39" s="21" t="s">
        <v>21</v>
      </c>
      <c r="D39" s="17" t="s">
        <v>480</v>
      </c>
      <c r="E39" s="17" t="s">
        <v>481</v>
      </c>
      <c r="F39" s="21" t="s">
        <v>289</v>
      </c>
      <c r="G39" s="21" t="s">
        <v>482</v>
      </c>
      <c r="H39" s="21" t="s">
        <v>47</v>
      </c>
      <c r="I39" s="21" t="s">
        <v>483</v>
      </c>
      <c r="J39" s="22" t="str">
        <f>IF(COUNTIF(Tasks!$S$2:$S$137,"*"&amp;A39&amp;"*")&gt;0,"ĐÃ MAP","CHƯA MAP")</f>
        <v>#ERROR!</v>
      </c>
    </row>
    <row r="40">
      <c r="A40" s="21" t="s">
        <v>485</v>
      </c>
      <c r="B40" s="21" t="s">
        <v>91</v>
      </c>
      <c r="C40" s="21" t="s">
        <v>35</v>
      </c>
      <c r="D40" s="17" t="s">
        <v>486</v>
      </c>
      <c r="E40" s="17" t="s">
        <v>487</v>
      </c>
      <c r="F40" s="21" t="s">
        <v>289</v>
      </c>
      <c r="G40" s="21" t="s">
        <v>488</v>
      </c>
      <c r="H40" s="21" t="s">
        <v>93</v>
      </c>
      <c r="I40" s="21" t="s">
        <v>489</v>
      </c>
      <c r="J40" s="22" t="str">
        <f>IF(COUNTIF(Tasks!$S$2:$S$137,"*"&amp;A40&amp;"*")&gt;0,"ĐÃ MAP","CHƯA MAP")</f>
        <v>#ERROR!</v>
      </c>
    </row>
    <row r="41">
      <c r="A41" s="21" t="s">
        <v>490</v>
      </c>
      <c r="B41" s="21" t="s">
        <v>91</v>
      </c>
      <c r="C41" s="21" t="s">
        <v>29</v>
      </c>
      <c r="D41" s="17" t="s">
        <v>491</v>
      </c>
      <c r="E41" s="17" t="s">
        <v>492</v>
      </c>
      <c r="F41" s="21" t="s">
        <v>289</v>
      </c>
      <c r="G41" s="21" t="s">
        <v>493</v>
      </c>
      <c r="H41" s="21" t="s">
        <v>66</v>
      </c>
      <c r="I41" s="21" t="s">
        <v>494</v>
      </c>
      <c r="J41" s="22" t="str">
        <f>IF(COUNTIF(Tasks!$S$2:$S$137,"*"&amp;A41&amp;"*")&gt;0,"ĐÃ MAP","CHƯA MAP")</f>
        <v>#ERROR!</v>
      </c>
    </row>
    <row r="42">
      <c r="A42" s="21" t="s">
        <v>498</v>
      </c>
      <c r="B42" s="21" t="s">
        <v>101</v>
      </c>
      <c r="C42" s="21" t="s">
        <v>9</v>
      </c>
      <c r="D42" s="17" t="s">
        <v>499</v>
      </c>
      <c r="E42" s="17" t="s">
        <v>500</v>
      </c>
      <c r="F42" s="21" t="s">
        <v>209</v>
      </c>
      <c r="G42" s="21" t="s">
        <v>501</v>
      </c>
      <c r="H42" s="21" t="s">
        <v>66</v>
      </c>
      <c r="I42" s="21" t="s">
        <v>502</v>
      </c>
      <c r="J42" s="22" t="str">
        <f>IF(COUNTIF(Tasks!$S$2:$S$137,"*"&amp;A42&amp;"*")&gt;0,"ĐÃ MAP","CHƯA MAP")</f>
        <v>#ERROR!</v>
      </c>
    </row>
    <row r="43">
      <c r="A43" s="21" t="s">
        <v>503</v>
      </c>
      <c r="B43" s="21" t="s">
        <v>101</v>
      </c>
      <c r="C43" s="21" t="s">
        <v>13</v>
      </c>
      <c r="D43" s="17" t="s">
        <v>504</v>
      </c>
      <c r="E43" s="17" t="s">
        <v>505</v>
      </c>
      <c r="F43" s="21" t="s">
        <v>209</v>
      </c>
      <c r="G43" s="21" t="s">
        <v>506</v>
      </c>
      <c r="H43" s="21" t="s">
        <v>123</v>
      </c>
      <c r="I43" s="21" t="s">
        <v>507</v>
      </c>
      <c r="J43" s="22" t="str">
        <f>IF(COUNTIF(Tasks!$S$2:$S$137,"*"&amp;A43&amp;"*")&gt;0,"ĐÃ MAP","CHƯA MAP")</f>
        <v>#ERROR!</v>
      </c>
    </row>
    <row r="44">
      <c r="A44" s="21" t="s">
        <v>508</v>
      </c>
      <c r="B44" s="21" t="s">
        <v>101</v>
      </c>
      <c r="C44" s="21" t="s">
        <v>26</v>
      </c>
      <c r="D44" s="17" t="s">
        <v>509</v>
      </c>
      <c r="E44" s="17" t="s">
        <v>510</v>
      </c>
      <c r="F44" s="21" t="s">
        <v>209</v>
      </c>
      <c r="G44" s="21" t="s">
        <v>511</v>
      </c>
      <c r="H44" s="21" t="s">
        <v>47</v>
      </c>
      <c r="I44" s="21" t="s">
        <v>512</v>
      </c>
      <c r="J44" s="22" t="str">
        <f>IF(COUNTIF(Tasks!$S$2:$S$137,"*"&amp;A44&amp;"*")&gt;0,"ĐÃ MAP","CHƯA MAP")</f>
        <v>#ERROR!</v>
      </c>
    </row>
    <row r="45">
      <c r="A45" s="21" t="s">
        <v>513</v>
      </c>
      <c r="B45" s="21" t="s">
        <v>101</v>
      </c>
      <c r="C45" s="21" t="s">
        <v>33</v>
      </c>
      <c r="D45" s="17" t="s">
        <v>514</v>
      </c>
      <c r="E45" s="17" t="s">
        <v>515</v>
      </c>
      <c r="F45" s="21" t="s">
        <v>516</v>
      </c>
      <c r="G45" s="21" t="s">
        <v>517</v>
      </c>
      <c r="H45" s="21" t="s">
        <v>110</v>
      </c>
      <c r="I45" s="21" t="s">
        <v>518</v>
      </c>
      <c r="J45" s="22" t="str">
        <f>IF(COUNTIF(Tasks!$S$2:$S$137,"*"&amp;A45&amp;"*")&gt;0,"ĐÃ MAP","CHƯA MAP")</f>
        <v>#ERROR!</v>
      </c>
    </row>
    <row r="46">
      <c r="A46" s="21" t="s">
        <v>519</v>
      </c>
      <c r="B46" s="21" t="s">
        <v>101</v>
      </c>
      <c r="C46" s="21" t="s">
        <v>18</v>
      </c>
      <c r="D46" s="17" t="s">
        <v>520</v>
      </c>
      <c r="E46" s="17" t="s">
        <v>521</v>
      </c>
      <c r="F46" s="21" t="s">
        <v>209</v>
      </c>
      <c r="G46" s="21" t="s">
        <v>522</v>
      </c>
      <c r="H46" s="21" t="s">
        <v>85</v>
      </c>
      <c r="I46" s="21" t="s">
        <v>523</v>
      </c>
      <c r="J46" s="22" t="str">
        <f>IF(COUNTIF(Tasks!$S$2:$S$137,"*"&amp;A46&amp;"*")&gt;0,"ĐÃ MAP","CHƯA MAP")</f>
        <v>#ERROR!</v>
      </c>
    </row>
    <row r="47">
      <c r="A47" s="21" t="s">
        <v>524</v>
      </c>
      <c r="B47" s="21" t="s">
        <v>101</v>
      </c>
      <c r="C47" s="21" t="s">
        <v>21</v>
      </c>
      <c r="D47" s="17" t="s">
        <v>525</v>
      </c>
      <c r="E47" s="17" t="s">
        <v>526</v>
      </c>
      <c r="F47" s="21" t="s">
        <v>209</v>
      </c>
      <c r="G47" s="21" t="s">
        <v>527</v>
      </c>
      <c r="H47" s="21" t="s">
        <v>47</v>
      </c>
      <c r="I47" s="21" t="s">
        <v>528</v>
      </c>
      <c r="J47" s="22" t="str">
        <f>IF(COUNTIF(Tasks!$S$2:$S$137,"*"&amp;A47&amp;"*")&gt;0,"ĐÃ MAP","CHƯA MAP")</f>
        <v>#ERROR!</v>
      </c>
    </row>
    <row r="48">
      <c r="A48" s="21" t="s">
        <v>529</v>
      </c>
      <c r="B48" s="21" t="s">
        <v>101</v>
      </c>
      <c r="C48" s="21" t="s">
        <v>35</v>
      </c>
      <c r="D48" s="17" t="s">
        <v>530</v>
      </c>
      <c r="E48" s="17" t="s">
        <v>531</v>
      </c>
      <c r="F48" s="21" t="s">
        <v>516</v>
      </c>
      <c r="G48" s="21" t="s">
        <v>532</v>
      </c>
      <c r="H48" s="21" t="s">
        <v>47</v>
      </c>
      <c r="I48" s="21" t="s">
        <v>533</v>
      </c>
      <c r="J48" s="22" t="str">
        <f>IF(COUNTIF(Tasks!$S$2:$S$137,"*"&amp;A48&amp;"*")&gt;0,"ĐÃ MAP","CHƯA MAP")</f>
        <v>#ERROR!</v>
      </c>
    </row>
    <row r="49">
      <c r="A49" s="21" t="s">
        <v>534</v>
      </c>
      <c r="B49" s="21" t="s">
        <v>101</v>
      </c>
      <c r="C49" s="21" t="s">
        <v>29</v>
      </c>
      <c r="D49" s="17" t="s">
        <v>536</v>
      </c>
      <c r="E49" s="17" t="s">
        <v>537</v>
      </c>
      <c r="F49" s="21" t="s">
        <v>209</v>
      </c>
      <c r="G49" s="21" t="s">
        <v>538</v>
      </c>
      <c r="H49" s="21" t="s">
        <v>104</v>
      </c>
      <c r="I49" s="21" t="s">
        <v>540</v>
      </c>
      <c r="J49" s="22" t="str">
        <f>IF(COUNTIF(Tasks!$S$2:$S$137,"*"&amp;A49&amp;"*")&gt;0,"ĐÃ MAP","CHƯA MAP")</f>
        <v>#ERROR!</v>
      </c>
    </row>
    <row r="50">
      <c r="A50" s="21" t="s">
        <v>545</v>
      </c>
      <c r="B50" s="21" t="s">
        <v>107</v>
      </c>
      <c r="C50" s="21" t="s">
        <v>9</v>
      </c>
      <c r="D50" s="17" t="s">
        <v>546</v>
      </c>
      <c r="E50" s="17" t="s">
        <v>547</v>
      </c>
      <c r="F50" s="21" t="s">
        <v>289</v>
      </c>
      <c r="G50" s="21" t="s">
        <v>548</v>
      </c>
      <c r="H50" s="21" t="s">
        <v>47</v>
      </c>
      <c r="I50" s="21" t="s">
        <v>549</v>
      </c>
      <c r="J50" s="22" t="str">
        <f>IF(COUNTIF(Tasks!$S$2:$S$137,"*"&amp;A50&amp;"*")&gt;0,"ĐÃ MAP","CHƯA MAP")</f>
        <v>#ERROR!</v>
      </c>
    </row>
    <row r="51">
      <c r="A51" s="21" t="s">
        <v>550</v>
      </c>
      <c r="B51" s="21" t="s">
        <v>107</v>
      </c>
      <c r="C51" s="21" t="s">
        <v>13</v>
      </c>
      <c r="D51" s="17" t="s">
        <v>551</v>
      </c>
      <c r="E51" s="17" t="s">
        <v>552</v>
      </c>
      <c r="F51" s="21" t="s">
        <v>289</v>
      </c>
      <c r="G51" s="21" t="s">
        <v>553</v>
      </c>
      <c r="H51" s="21" t="s">
        <v>47</v>
      </c>
      <c r="I51" s="21" t="s">
        <v>554</v>
      </c>
      <c r="J51" s="22" t="str">
        <f>IF(COUNTIF(Tasks!$S$2:$S$137,"*"&amp;A51&amp;"*")&gt;0,"ĐÃ MAP","CHƯA MAP")</f>
        <v>#ERROR!</v>
      </c>
    </row>
    <row r="52">
      <c r="A52" s="21" t="s">
        <v>555</v>
      </c>
      <c r="B52" s="21" t="s">
        <v>107</v>
      </c>
      <c r="C52" s="21" t="s">
        <v>26</v>
      </c>
      <c r="D52" s="17" t="s">
        <v>556</v>
      </c>
      <c r="E52" s="17" t="s">
        <v>557</v>
      </c>
      <c r="F52" s="21" t="s">
        <v>289</v>
      </c>
      <c r="G52" s="21" t="s">
        <v>558</v>
      </c>
      <c r="H52" s="21" t="s">
        <v>47</v>
      </c>
      <c r="I52" s="21" t="s">
        <v>559</v>
      </c>
      <c r="J52" s="22" t="str">
        <f>IF(COUNTIF(Tasks!$S$2:$S$137,"*"&amp;A52&amp;"*")&gt;0,"ĐÃ MAP","CHƯA MAP")</f>
        <v>#ERROR!</v>
      </c>
    </row>
    <row r="53">
      <c r="A53" s="21" t="s">
        <v>560</v>
      </c>
      <c r="B53" s="21" t="s">
        <v>107</v>
      </c>
      <c r="C53" s="21" t="s">
        <v>33</v>
      </c>
      <c r="D53" s="17" t="s">
        <v>561</v>
      </c>
      <c r="E53" s="17" t="s">
        <v>562</v>
      </c>
      <c r="F53" s="21" t="s">
        <v>289</v>
      </c>
      <c r="G53" s="21" t="s">
        <v>563</v>
      </c>
      <c r="H53" s="21" t="s">
        <v>129</v>
      </c>
      <c r="I53" s="21" t="s">
        <v>564</v>
      </c>
      <c r="J53" s="22" t="str">
        <f>IF(COUNTIF(Tasks!$S$2:$S$137,"*"&amp;A53&amp;"*")&gt;0,"ĐÃ MAP","CHƯA MAP")</f>
        <v>#ERROR!</v>
      </c>
    </row>
    <row r="54">
      <c r="A54" s="21" t="s">
        <v>566</v>
      </c>
      <c r="B54" s="21" t="s">
        <v>107</v>
      </c>
      <c r="C54" s="21" t="s">
        <v>18</v>
      </c>
      <c r="D54" s="17" t="s">
        <v>567</v>
      </c>
      <c r="E54" s="17" t="s">
        <v>568</v>
      </c>
      <c r="F54" s="21" t="s">
        <v>289</v>
      </c>
      <c r="G54" s="21" t="s">
        <v>569</v>
      </c>
      <c r="H54" s="21" t="s">
        <v>85</v>
      </c>
      <c r="I54" s="21" t="s">
        <v>570</v>
      </c>
      <c r="J54" s="22" t="str">
        <f>IF(COUNTIF(Tasks!$S$2:$S$137,"*"&amp;A54&amp;"*")&gt;0,"ĐÃ MAP","CHƯA MAP")</f>
        <v>#ERROR!</v>
      </c>
    </row>
    <row r="55">
      <c r="A55" s="21" t="s">
        <v>571</v>
      </c>
      <c r="B55" s="21" t="s">
        <v>107</v>
      </c>
      <c r="C55" s="21" t="s">
        <v>21</v>
      </c>
      <c r="D55" s="17" t="s">
        <v>572</v>
      </c>
      <c r="E55" s="17" t="s">
        <v>573</v>
      </c>
      <c r="F55" s="21" t="s">
        <v>289</v>
      </c>
      <c r="G55" s="21" t="s">
        <v>574</v>
      </c>
      <c r="H55" s="21" t="s">
        <v>93</v>
      </c>
      <c r="I55" s="21" t="s">
        <v>575</v>
      </c>
      <c r="J55" s="22" t="str">
        <f>IF(COUNTIF(Tasks!$S$2:$S$137,"*"&amp;A55&amp;"*")&gt;0,"ĐÃ MAP","CHƯA MAP")</f>
        <v>#ERROR!</v>
      </c>
    </row>
    <row r="56">
      <c r="A56" s="21" t="s">
        <v>576</v>
      </c>
      <c r="B56" s="21" t="s">
        <v>107</v>
      </c>
      <c r="C56" s="21" t="s">
        <v>35</v>
      </c>
      <c r="D56" s="17" t="s">
        <v>577</v>
      </c>
      <c r="E56" s="17" t="s">
        <v>578</v>
      </c>
      <c r="F56" s="21" t="s">
        <v>289</v>
      </c>
      <c r="G56" s="21" t="s">
        <v>579</v>
      </c>
      <c r="H56" s="21" t="s">
        <v>129</v>
      </c>
      <c r="I56" s="21" t="s">
        <v>580</v>
      </c>
      <c r="J56" s="22" t="str">
        <f>IF(COUNTIF(Tasks!$S$2:$S$137,"*"&amp;A56&amp;"*")&gt;0,"ĐÃ MAP","CHƯA MAP")</f>
        <v>#ERROR!</v>
      </c>
    </row>
    <row r="57">
      <c r="A57" s="21" t="s">
        <v>588</v>
      </c>
      <c r="B57" s="21" t="s">
        <v>107</v>
      </c>
      <c r="C57" s="21" t="s">
        <v>29</v>
      </c>
      <c r="D57" s="17" t="s">
        <v>589</v>
      </c>
      <c r="E57" s="17" t="s">
        <v>590</v>
      </c>
      <c r="F57" s="21" t="s">
        <v>289</v>
      </c>
      <c r="G57" s="21" t="s">
        <v>591</v>
      </c>
      <c r="H57" s="21" t="s">
        <v>123</v>
      </c>
      <c r="I57" s="21" t="s">
        <v>592</v>
      </c>
      <c r="J57" s="22" t="str">
        <f>IF(COUNTIF(Tasks!$S$2:$S$137,"*"&amp;A57&amp;"*")&gt;0,"ĐÃ MAP","CHƯA MAP")</f>
        <v>#ERROR!</v>
      </c>
    </row>
    <row r="58">
      <c r="A58" s="21" t="s">
        <v>593</v>
      </c>
      <c r="B58" s="21" t="s">
        <v>114</v>
      </c>
      <c r="C58" s="21" t="s">
        <v>9</v>
      </c>
      <c r="D58" s="17" t="s">
        <v>594</v>
      </c>
      <c r="E58" s="17" t="s">
        <v>595</v>
      </c>
      <c r="F58" s="21" t="s">
        <v>289</v>
      </c>
      <c r="G58" s="21" t="s">
        <v>596</v>
      </c>
      <c r="H58" s="21" t="s">
        <v>115</v>
      </c>
      <c r="I58" s="21" t="s">
        <v>597</v>
      </c>
      <c r="J58" s="22" t="str">
        <f>IF(COUNTIF(Tasks!$S$2:$S$137,"*"&amp;A58&amp;"*")&gt;0,"ĐÃ MAP","CHƯA MAP")</f>
        <v>#ERROR!</v>
      </c>
    </row>
    <row r="59">
      <c r="A59" s="21" t="s">
        <v>598</v>
      </c>
      <c r="B59" s="21" t="s">
        <v>114</v>
      </c>
      <c r="C59" s="21" t="s">
        <v>13</v>
      </c>
      <c r="D59" s="17" t="s">
        <v>599</v>
      </c>
      <c r="E59" s="17" t="s">
        <v>600</v>
      </c>
      <c r="F59" s="21" t="s">
        <v>289</v>
      </c>
      <c r="G59" s="21" t="s">
        <v>601</v>
      </c>
      <c r="H59" s="21" t="s">
        <v>123</v>
      </c>
      <c r="I59" s="21" t="s">
        <v>602</v>
      </c>
      <c r="J59" s="22" t="str">
        <f>IF(COUNTIF(Tasks!$S$2:$S$137,"*"&amp;A59&amp;"*")&gt;0,"ĐÃ MAP","CHƯA MAP")</f>
        <v>#ERROR!</v>
      </c>
    </row>
    <row r="60">
      <c r="A60" s="21" t="s">
        <v>603</v>
      </c>
      <c r="B60" s="21" t="s">
        <v>114</v>
      </c>
      <c r="C60" s="21" t="s">
        <v>26</v>
      </c>
      <c r="D60" s="17" t="s">
        <v>604</v>
      </c>
      <c r="E60" s="17" t="s">
        <v>605</v>
      </c>
      <c r="F60" s="21" t="s">
        <v>289</v>
      </c>
      <c r="G60" s="21" t="s">
        <v>606</v>
      </c>
      <c r="H60" s="21" t="s">
        <v>47</v>
      </c>
      <c r="I60" s="21" t="s">
        <v>608</v>
      </c>
      <c r="J60" s="22" t="str">
        <f>IF(COUNTIF(Tasks!$S$2:$S$137,"*"&amp;A60&amp;"*")&gt;0,"ĐÃ MAP","CHƯA MAP")</f>
        <v>#ERROR!</v>
      </c>
    </row>
    <row r="61">
      <c r="A61" s="21" t="s">
        <v>609</v>
      </c>
      <c r="B61" s="21" t="s">
        <v>114</v>
      </c>
      <c r="C61" s="21" t="s">
        <v>33</v>
      </c>
      <c r="D61" s="17" t="s">
        <v>610</v>
      </c>
      <c r="E61" s="17" t="s">
        <v>611</v>
      </c>
      <c r="F61" s="21" t="s">
        <v>289</v>
      </c>
      <c r="G61" s="21" t="s">
        <v>612</v>
      </c>
      <c r="H61" s="21" t="s">
        <v>129</v>
      </c>
      <c r="I61" s="21" t="s">
        <v>613</v>
      </c>
      <c r="J61" s="22" t="str">
        <f>IF(COUNTIF(Tasks!$S$2:$S$137,"*"&amp;A61&amp;"*")&gt;0,"ĐÃ MAP","CHƯA MAP")</f>
        <v>#ERROR!</v>
      </c>
    </row>
    <row r="62">
      <c r="A62" s="21" t="s">
        <v>614</v>
      </c>
      <c r="B62" s="21" t="s">
        <v>114</v>
      </c>
      <c r="C62" s="21" t="s">
        <v>18</v>
      </c>
      <c r="D62" s="17" t="s">
        <v>615</v>
      </c>
      <c r="E62" s="17" t="s">
        <v>616</v>
      </c>
      <c r="F62" s="21" t="s">
        <v>289</v>
      </c>
      <c r="G62" s="21" t="s">
        <v>617</v>
      </c>
      <c r="H62" s="21" t="s">
        <v>85</v>
      </c>
      <c r="I62" s="21" t="s">
        <v>618</v>
      </c>
      <c r="J62" s="22" t="str">
        <f>IF(COUNTIF(Tasks!$S$2:$S$137,"*"&amp;A62&amp;"*")&gt;0,"ĐÃ MAP","CHƯA MAP")</f>
        <v>#ERROR!</v>
      </c>
    </row>
    <row r="63">
      <c r="A63" s="21" t="s">
        <v>619</v>
      </c>
      <c r="B63" s="21" t="s">
        <v>114</v>
      </c>
      <c r="C63" s="21" t="s">
        <v>21</v>
      </c>
      <c r="D63" s="17" t="s">
        <v>620</v>
      </c>
      <c r="E63" s="17" t="s">
        <v>621</v>
      </c>
      <c r="F63" s="21" t="s">
        <v>289</v>
      </c>
      <c r="G63" s="21" t="s">
        <v>622</v>
      </c>
      <c r="H63" s="21" t="s">
        <v>93</v>
      </c>
      <c r="I63" s="21" t="s">
        <v>624</v>
      </c>
      <c r="J63" s="22" t="str">
        <f>IF(COUNTIF(Tasks!$S$2:$S$137,"*"&amp;A63&amp;"*")&gt;0,"ĐÃ MAP","CHƯA MAP")</f>
        <v>#ERROR!</v>
      </c>
    </row>
    <row r="64">
      <c r="A64" s="21" t="s">
        <v>625</v>
      </c>
      <c r="B64" s="21" t="s">
        <v>114</v>
      </c>
      <c r="C64" s="21" t="s">
        <v>35</v>
      </c>
      <c r="D64" s="17" t="s">
        <v>626</v>
      </c>
      <c r="E64" s="17" t="s">
        <v>627</v>
      </c>
      <c r="F64" s="21" t="s">
        <v>289</v>
      </c>
      <c r="G64" s="21" t="s">
        <v>628</v>
      </c>
      <c r="H64" s="21" t="s">
        <v>129</v>
      </c>
      <c r="I64" s="21" t="s">
        <v>629</v>
      </c>
      <c r="J64" s="22" t="str">
        <f>IF(COUNTIF(Tasks!$S$2:$S$137,"*"&amp;A64&amp;"*")&gt;0,"ĐÃ MAP","CHƯA MAP")</f>
        <v>#ERROR!</v>
      </c>
    </row>
    <row r="65">
      <c r="A65" s="21" t="s">
        <v>630</v>
      </c>
      <c r="B65" s="21" t="s">
        <v>114</v>
      </c>
      <c r="C65" s="21" t="s">
        <v>29</v>
      </c>
      <c r="D65" s="17" t="s">
        <v>631</v>
      </c>
      <c r="E65" s="17" t="s">
        <v>632</v>
      </c>
      <c r="F65" s="21" t="s">
        <v>289</v>
      </c>
      <c r="G65" s="21" t="s">
        <v>633</v>
      </c>
      <c r="H65" s="21" t="s">
        <v>93</v>
      </c>
      <c r="I65" s="21" t="s">
        <v>634</v>
      </c>
      <c r="J65" s="22" t="str">
        <f>IF(COUNTIF(Tasks!$S$2:$S$137,"*"&amp;A65&amp;"*")&gt;0,"ĐÃ MAP","CHƯA MAP")</f>
        <v>#ERROR!</v>
      </c>
    </row>
    <row r="66">
      <c r="A66" s="21" t="s">
        <v>635</v>
      </c>
      <c r="B66" s="21" t="s">
        <v>121</v>
      </c>
      <c r="C66" s="21" t="s">
        <v>9</v>
      </c>
      <c r="D66" s="17" t="s">
        <v>636</v>
      </c>
      <c r="E66" s="17" t="s">
        <v>637</v>
      </c>
      <c r="F66" s="21" t="s">
        <v>289</v>
      </c>
      <c r="G66" s="21" t="s">
        <v>638</v>
      </c>
      <c r="H66" s="21" t="s">
        <v>98</v>
      </c>
      <c r="I66" s="21" t="s">
        <v>639</v>
      </c>
      <c r="J66" s="22" t="str">
        <f>IF(COUNTIF(Tasks!$S$2:$S$137,"*"&amp;A66&amp;"*")&gt;0,"ĐÃ MAP","CHƯA MAP")</f>
        <v>#ERROR!</v>
      </c>
    </row>
    <row r="67">
      <c r="A67" s="21" t="s">
        <v>641</v>
      </c>
      <c r="B67" s="21" t="s">
        <v>121</v>
      </c>
      <c r="C67" s="21" t="s">
        <v>13</v>
      </c>
      <c r="D67" s="17" t="s">
        <v>644</v>
      </c>
      <c r="E67" s="17" t="s">
        <v>646</v>
      </c>
      <c r="F67" s="21" t="s">
        <v>289</v>
      </c>
      <c r="G67" s="21" t="s">
        <v>648</v>
      </c>
      <c r="H67" s="21" t="s">
        <v>123</v>
      </c>
      <c r="I67" s="21" t="s">
        <v>649</v>
      </c>
      <c r="J67" s="22" t="str">
        <f>IF(COUNTIF(Tasks!$S$2:$S$137,"*"&amp;A67&amp;"*")&gt;0,"ĐÃ MAP","CHƯA MAP")</f>
        <v>#ERROR!</v>
      </c>
    </row>
    <row r="68">
      <c r="A68" s="21" t="s">
        <v>651</v>
      </c>
      <c r="B68" s="21" t="s">
        <v>121</v>
      </c>
      <c r="C68" s="21" t="s">
        <v>26</v>
      </c>
      <c r="D68" s="17" t="s">
        <v>652</v>
      </c>
      <c r="E68" s="17" t="s">
        <v>653</v>
      </c>
      <c r="F68" s="21" t="s">
        <v>289</v>
      </c>
      <c r="G68" s="21" t="s">
        <v>654</v>
      </c>
      <c r="H68" s="21" t="s">
        <v>123</v>
      </c>
      <c r="I68" s="21" t="s">
        <v>655</v>
      </c>
      <c r="J68" s="22" t="str">
        <f>IF(COUNTIF(Tasks!$S$2:$S$137,"*"&amp;A68&amp;"*")&gt;0,"ĐÃ MAP","CHƯA MAP")</f>
        <v>#ERROR!</v>
      </c>
    </row>
    <row r="69">
      <c r="A69" s="21" t="s">
        <v>656</v>
      </c>
      <c r="B69" s="21" t="s">
        <v>121</v>
      </c>
      <c r="C69" s="21" t="s">
        <v>33</v>
      </c>
      <c r="D69" s="17" t="s">
        <v>658</v>
      </c>
      <c r="E69" s="17" t="s">
        <v>659</v>
      </c>
      <c r="F69" s="21" t="s">
        <v>289</v>
      </c>
      <c r="G69" s="21" t="s">
        <v>660</v>
      </c>
      <c r="H69" s="21" t="s">
        <v>129</v>
      </c>
      <c r="I69" s="21" t="s">
        <v>661</v>
      </c>
      <c r="J69" s="22" t="str">
        <f>IF(COUNTIF(Tasks!$S$2:$S$137,"*"&amp;A69&amp;"*")&gt;0,"ĐÃ MAP","CHƯA MAP")</f>
        <v>#ERROR!</v>
      </c>
    </row>
    <row r="70">
      <c r="A70" s="21" t="s">
        <v>662</v>
      </c>
      <c r="B70" s="21" t="s">
        <v>121</v>
      </c>
      <c r="C70" s="21" t="s">
        <v>18</v>
      </c>
      <c r="D70" s="17" t="s">
        <v>663</v>
      </c>
      <c r="E70" s="17" t="s">
        <v>664</v>
      </c>
      <c r="F70" s="21" t="s">
        <v>289</v>
      </c>
      <c r="G70" s="21" t="s">
        <v>665</v>
      </c>
      <c r="H70" s="21" t="s">
        <v>85</v>
      </c>
      <c r="I70" s="21" t="s">
        <v>666</v>
      </c>
      <c r="J70" s="22" t="str">
        <f>IF(COUNTIF(Tasks!$S$2:$S$137,"*"&amp;A70&amp;"*")&gt;0,"ĐÃ MAP","CHƯA MAP")</f>
        <v>#ERROR!</v>
      </c>
    </row>
    <row r="71">
      <c r="A71" s="21" t="s">
        <v>667</v>
      </c>
      <c r="B71" s="21" t="s">
        <v>121</v>
      </c>
      <c r="C71" s="21" t="s">
        <v>21</v>
      </c>
      <c r="D71" s="17" t="s">
        <v>668</v>
      </c>
      <c r="E71" s="17" t="s">
        <v>669</v>
      </c>
      <c r="F71" s="21" t="s">
        <v>289</v>
      </c>
      <c r="G71" s="21" t="s">
        <v>670</v>
      </c>
      <c r="H71" s="21" t="s">
        <v>47</v>
      </c>
      <c r="I71" s="21" t="s">
        <v>671</v>
      </c>
      <c r="J71" s="22" t="str">
        <f>IF(COUNTIF(Tasks!$S$2:$S$137,"*"&amp;A71&amp;"*")&gt;0,"ĐÃ MAP","CHƯA MAP")</f>
        <v>#ERROR!</v>
      </c>
    </row>
    <row r="72">
      <c r="A72" s="21" t="s">
        <v>675</v>
      </c>
      <c r="B72" s="21" t="s">
        <v>121</v>
      </c>
      <c r="C72" s="21" t="s">
        <v>35</v>
      </c>
      <c r="D72" s="17" t="s">
        <v>678</v>
      </c>
      <c r="E72" s="17" t="s">
        <v>679</v>
      </c>
      <c r="F72" s="21" t="s">
        <v>289</v>
      </c>
      <c r="G72" s="21" t="s">
        <v>680</v>
      </c>
      <c r="H72" s="21" t="s">
        <v>129</v>
      </c>
      <c r="I72" s="21" t="s">
        <v>681</v>
      </c>
      <c r="J72" s="22" t="str">
        <f>IF(COUNTIF(Tasks!$S$2:$S$137,"*"&amp;A72&amp;"*")&gt;0,"ĐÃ MAP","CHƯA MAP")</f>
        <v>#ERROR!</v>
      </c>
    </row>
    <row r="73">
      <c r="A73" s="21" t="s">
        <v>682</v>
      </c>
      <c r="B73" s="21" t="s">
        <v>121</v>
      </c>
      <c r="C73" s="21" t="s">
        <v>29</v>
      </c>
      <c r="D73" s="17" t="s">
        <v>683</v>
      </c>
      <c r="E73" s="17" t="s">
        <v>684</v>
      </c>
      <c r="F73" s="21" t="s">
        <v>289</v>
      </c>
      <c r="G73" s="21" t="s">
        <v>685</v>
      </c>
      <c r="H73" s="21" t="s">
        <v>93</v>
      </c>
      <c r="I73" s="21" t="s">
        <v>686</v>
      </c>
      <c r="J73" s="22" t="str">
        <f>IF(COUNTIF(Tasks!$S$2:$S$137,"*"&amp;A73&amp;"*")&gt;0,"ĐÃ MAP","CHƯA MAP")</f>
        <v>#ERROR!</v>
      </c>
    </row>
    <row r="74">
      <c r="A74" s="21" t="s">
        <v>687</v>
      </c>
      <c r="B74" s="21" t="s">
        <v>125</v>
      </c>
      <c r="C74" s="21" t="s">
        <v>9</v>
      </c>
      <c r="D74" s="17" t="s">
        <v>688</v>
      </c>
      <c r="E74" s="17" t="s">
        <v>689</v>
      </c>
      <c r="F74" s="21" t="s">
        <v>289</v>
      </c>
      <c r="G74" s="21" t="s">
        <v>690</v>
      </c>
      <c r="H74" s="21" t="s">
        <v>131</v>
      </c>
      <c r="I74" s="21" t="s">
        <v>691</v>
      </c>
      <c r="J74" s="22" t="str">
        <f>IF(COUNTIF(Tasks!$S$2:$S$137,"*"&amp;A74&amp;"*")&gt;0,"ĐÃ MAP","CHƯA MAP")</f>
        <v>#ERROR!</v>
      </c>
    </row>
    <row r="75">
      <c r="A75" s="21" t="s">
        <v>693</v>
      </c>
      <c r="B75" s="21" t="s">
        <v>125</v>
      </c>
      <c r="C75" s="21" t="s">
        <v>13</v>
      </c>
      <c r="D75" s="17" t="s">
        <v>694</v>
      </c>
      <c r="E75" s="17" t="s">
        <v>695</v>
      </c>
      <c r="F75" s="21" t="s">
        <v>289</v>
      </c>
      <c r="G75" s="21" t="s">
        <v>696</v>
      </c>
      <c r="H75" s="21" t="s">
        <v>131</v>
      </c>
      <c r="I75" s="21" t="s">
        <v>697</v>
      </c>
      <c r="J75" s="22" t="str">
        <f>IF(COUNTIF(Tasks!$S$2:$S$137,"*"&amp;A75&amp;"*")&gt;0,"ĐÃ MAP","CHƯA MAP")</f>
        <v>#ERROR!</v>
      </c>
    </row>
    <row r="76">
      <c r="A76" s="21" t="s">
        <v>698</v>
      </c>
      <c r="B76" s="21" t="s">
        <v>125</v>
      </c>
      <c r="C76" s="21" t="s">
        <v>26</v>
      </c>
      <c r="D76" s="17" t="s">
        <v>699</v>
      </c>
      <c r="E76" s="17" t="s">
        <v>700</v>
      </c>
      <c r="F76" s="21" t="s">
        <v>289</v>
      </c>
      <c r="G76" s="21" t="s">
        <v>701</v>
      </c>
      <c r="H76" s="21" t="s">
        <v>129</v>
      </c>
      <c r="I76" s="21" t="s">
        <v>702</v>
      </c>
      <c r="J76" s="22" t="str">
        <f>IF(COUNTIF(Tasks!$S$2:$S$137,"*"&amp;A76&amp;"*")&gt;0,"ĐÃ MAP","CHƯA MAP")</f>
        <v>#ERROR!</v>
      </c>
    </row>
    <row r="77">
      <c r="A77" s="21" t="s">
        <v>705</v>
      </c>
      <c r="B77" s="21" t="s">
        <v>125</v>
      </c>
      <c r="C77" s="21" t="s">
        <v>33</v>
      </c>
      <c r="D77" s="17" t="s">
        <v>706</v>
      </c>
      <c r="E77" s="17" t="s">
        <v>708</v>
      </c>
      <c r="F77" s="21" t="s">
        <v>289</v>
      </c>
      <c r="G77" s="21" t="s">
        <v>709</v>
      </c>
      <c r="H77" s="21" t="s">
        <v>98</v>
      </c>
      <c r="I77" s="21" t="s">
        <v>710</v>
      </c>
      <c r="J77" s="22" t="str">
        <f>IF(COUNTIF(Tasks!$S$2:$S$137,"*"&amp;A77&amp;"*")&gt;0,"ĐÃ MAP","CHƯA MAP")</f>
        <v>#ERROR!</v>
      </c>
    </row>
    <row r="78">
      <c r="A78" s="21" t="s">
        <v>711</v>
      </c>
      <c r="B78" s="21" t="s">
        <v>125</v>
      </c>
      <c r="C78" s="21" t="s">
        <v>18</v>
      </c>
      <c r="D78" s="17" t="s">
        <v>712</v>
      </c>
      <c r="E78" s="17" t="s">
        <v>713</v>
      </c>
      <c r="F78" s="21" t="s">
        <v>289</v>
      </c>
      <c r="G78" s="21" t="s">
        <v>714</v>
      </c>
      <c r="H78" s="21" t="s">
        <v>85</v>
      </c>
      <c r="I78" s="21" t="s">
        <v>715</v>
      </c>
      <c r="J78" s="22" t="str">
        <f>IF(COUNTIF(Tasks!$S$2:$S$137,"*"&amp;A78&amp;"*")&gt;0,"ĐÃ MAP","CHƯA MAP")</f>
        <v>#ERROR!</v>
      </c>
    </row>
    <row r="79">
      <c r="A79" s="21" t="s">
        <v>716</v>
      </c>
      <c r="B79" s="21" t="s">
        <v>125</v>
      </c>
      <c r="C79" s="21" t="s">
        <v>21</v>
      </c>
      <c r="D79" s="17" t="s">
        <v>718</v>
      </c>
      <c r="E79" s="17" t="s">
        <v>719</v>
      </c>
      <c r="F79" s="21" t="s">
        <v>289</v>
      </c>
      <c r="G79" s="21" t="s">
        <v>720</v>
      </c>
      <c r="H79" s="21" t="s">
        <v>47</v>
      </c>
      <c r="I79" s="21" t="s">
        <v>721</v>
      </c>
      <c r="J79" s="22" t="str">
        <f>IF(COUNTIF(Tasks!$S$2:$S$137,"*"&amp;A79&amp;"*")&gt;0,"ĐÃ MAP","CHƯA MAP")</f>
        <v>#ERROR!</v>
      </c>
    </row>
    <row r="80">
      <c r="A80" s="21" t="s">
        <v>723</v>
      </c>
      <c r="B80" s="21" t="s">
        <v>125</v>
      </c>
      <c r="C80" s="21" t="s">
        <v>35</v>
      </c>
      <c r="D80" s="17" t="s">
        <v>724</v>
      </c>
      <c r="E80" s="17" t="s">
        <v>725</v>
      </c>
      <c r="F80" s="21" t="s">
        <v>289</v>
      </c>
      <c r="G80" s="21" t="s">
        <v>726</v>
      </c>
      <c r="H80" s="21" t="s">
        <v>129</v>
      </c>
      <c r="I80" s="21" t="s">
        <v>727</v>
      </c>
      <c r="J80" s="22" t="str">
        <f>IF(COUNTIF(Tasks!$S$2:$S$137,"*"&amp;A80&amp;"*")&gt;0,"ĐÃ MAP","CHƯA MAP")</f>
        <v>#ERROR!</v>
      </c>
    </row>
    <row r="81">
      <c r="A81" s="21" t="s">
        <v>728</v>
      </c>
      <c r="B81" s="21" t="s">
        <v>125</v>
      </c>
      <c r="C81" s="21" t="s">
        <v>29</v>
      </c>
      <c r="D81" s="17" t="s">
        <v>729</v>
      </c>
      <c r="E81" s="17" t="s">
        <v>730</v>
      </c>
      <c r="F81" s="21" t="s">
        <v>289</v>
      </c>
      <c r="G81" s="21" t="s">
        <v>731</v>
      </c>
      <c r="H81" s="21" t="s">
        <v>66</v>
      </c>
      <c r="I81" s="21" t="s">
        <v>732</v>
      </c>
      <c r="J81" s="22" t="str">
        <f>IF(COUNTIF(Tasks!$S$2:$S$137,"*"&amp;A81&amp;"*")&gt;0,"ĐÃ MAP","CHƯA MAP")</f>
        <v>#ERROR!</v>
      </c>
    </row>
    <row r="82">
      <c r="D82" s="18"/>
      <c r="E82" s="18"/>
    </row>
    <row r="83">
      <c r="D83" s="18"/>
      <c r="E83" s="18"/>
    </row>
    <row r="84">
      <c r="D84" s="18"/>
      <c r="E84" s="18"/>
    </row>
    <row r="85">
      <c r="D85" s="18"/>
      <c r="E85" s="18"/>
    </row>
    <row r="86">
      <c r="D86" s="18"/>
      <c r="E86" s="18"/>
    </row>
    <row r="87">
      <c r="D87" s="18"/>
      <c r="E87" s="18"/>
    </row>
    <row r="88">
      <c r="D88" s="18"/>
      <c r="E88" s="18"/>
    </row>
    <row r="89">
      <c r="D89" s="18"/>
      <c r="E89" s="18"/>
    </row>
    <row r="90">
      <c r="D90" s="18"/>
      <c r="E90" s="18"/>
    </row>
    <row r="91">
      <c r="D91" s="18"/>
      <c r="E91" s="18"/>
    </row>
    <row r="92">
      <c r="D92" s="18"/>
      <c r="E92" s="18"/>
    </row>
    <row r="93">
      <c r="D93" s="18"/>
      <c r="E93" s="18"/>
    </row>
    <row r="94">
      <c r="D94" s="18"/>
      <c r="E94" s="18"/>
    </row>
    <row r="95">
      <c r="D95" s="18"/>
      <c r="E95" s="18"/>
    </row>
    <row r="96">
      <c r="D96" s="18"/>
      <c r="E96" s="18"/>
    </row>
    <row r="97">
      <c r="D97" s="18"/>
      <c r="E97" s="18"/>
    </row>
    <row r="98">
      <c r="D98" s="18"/>
      <c r="E98" s="18"/>
    </row>
    <row r="99">
      <c r="D99" s="18"/>
      <c r="E99" s="18"/>
    </row>
    <row r="100">
      <c r="D100" s="18"/>
      <c r="E100" s="18"/>
    </row>
    <row r="101">
      <c r="D101" s="18"/>
      <c r="E101" s="18"/>
    </row>
    <row r="102">
      <c r="D102" s="18"/>
      <c r="E102" s="18"/>
    </row>
    <row r="103">
      <c r="D103" s="18"/>
      <c r="E103" s="18"/>
    </row>
    <row r="104">
      <c r="D104" s="18"/>
      <c r="E104" s="18"/>
    </row>
    <row r="105">
      <c r="D105" s="18"/>
      <c r="E105" s="18"/>
    </row>
    <row r="106">
      <c r="D106" s="18"/>
      <c r="E106" s="18"/>
    </row>
    <row r="107">
      <c r="D107" s="18"/>
      <c r="E107" s="18"/>
    </row>
    <row r="108">
      <c r="D108" s="18"/>
      <c r="E108" s="18"/>
    </row>
    <row r="109">
      <c r="D109" s="18"/>
      <c r="E109" s="18"/>
    </row>
    <row r="110">
      <c r="D110" s="18"/>
      <c r="E110" s="18"/>
    </row>
    <row r="111">
      <c r="D111" s="18"/>
      <c r="E111" s="18"/>
    </row>
    <row r="112">
      <c r="D112" s="18"/>
      <c r="E112" s="18"/>
    </row>
    <row r="113">
      <c r="D113" s="18"/>
      <c r="E113" s="18"/>
    </row>
    <row r="114">
      <c r="D114" s="18"/>
      <c r="E114" s="18"/>
    </row>
    <row r="115">
      <c r="D115" s="18"/>
      <c r="E115" s="18"/>
    </row>
    <row r="116">
      <c r="D116" s="18"/>
      <c r="E116" s="18"/>
    </row>
    <row r="117">
      <c r="D117" s="18"/>
      <c r="E117" s="18"/>
    </row>
    <row r="118">
      <c r="D118" s="18"/>
      <c r="E118" s="18"/>
    </row>
    <row r="119">
      <c r="D119" s="18"/>
      <c r="E119" s="18"/>
    </row>
    <row r="120">
      <c r="D120" s="18"/>
      <c r="E120" s="18"/>
    </row>
    <row r="121">
      <c r="D121" s="18"/>
      <c r="E121" s="18"/>
    </row>
    <row r="122">
      <c r="D122" s="18"/>
      <c r="E122" s="18"/>
    </row>
    <row r="123">
      <c r="D123" s="18"/>
      <c r="E123" s="18"/>
    </row>
    <row r="124">
      <c r="D124" s="18"/>
      <c r="E124" s="18"/>
    </row>
    <row r="125">
      <c r="D125" s="18"/>
      <c r="E125" s="18"/>
    </row>
    <row r="126">
      <c r="D126" s="18"/>
      <c r="E126" s="18"/>
    </row>
    <row r="127">
      <c r="D127" s="18"/>
      <c r="E127" s="18"/>
    </row>
    <row r="128">
      <c r="D128" s="18"/>
      <c r="E128" s="18"/>
    </row>
    <row r="129">
      <c r="D129" s="18"/>
      <c r="E129" s="18"/>
    </row>
    <row r="130">
      <c r="D130" s="18"/>
      <c r="E130" s="18"/>
    </row>
    <row r="131">
      <c r="D131" s="18"/>
      <c r="E131" s="18"/>
    </row>
    <row r="132">
      <c r="D132" s="18"/>
      <c r="E132" s="18"/>
    </row>
    <row r="133">
      <c r="D133" s="18"/>
      <c r="E133" s="18"/>
    </row>
    <row r="134">
      <c r="D134" s="18"/>
      <c r="E134" s="18"/>
    </row>
    <row r="135">
      <c r="D135" s="18"/>
      <c r="E135" s="18"/>
    </row>
    <row r="136">
      <c r="D136" s="18"/>
      <c r="E136" s="18"/>
    </row>
    <row r="137">
      <c r="D137" s="18"/>
      <c r="E137" s="18"/>
    </row>
    <row r="138">
      <c r="D138" s="18"/>
      <c r="E138" s="18"/>
    </row>
    <row r="139">
      <c r="D139" s="18"/>
      <c r="E139" s="18"/>
    </row>
    <row r="140">
      <c r="D140" s="18"/>
      <c r="E140" s="18"/>
    </row>
    <row r="141">
      <c r="D141" s="18"/>
      <c r="E141" s="18"/>
    </row>
    <row r="142">
      <c r="D142" s="18"/>
      <c r="E142" s="18"/>
    </row>
    <row r="143">
      <c r="D143" s="18"/>
      <c r="E143" s="18"/>
    </row>
    <row r="144">
      <c r="D144" s="18"/>
      <c r="E144" s="18"/>
    </row>
    <row r="145">
      <c r="D145" s="18"/>
      <c r="E145" s="18"/>
    </row>
    <row r="146">
      <c r="D146" s="18"/>
      <c r="E146" s="18"/>
    </row>
    <row r="147">
      <c r="D147" s="18"/>
      <c r="E147" s="18"/>
    </row>
    <row r="148">
      <c r="D148" s="18"/>
      <c r="E148" s="18"/>
    </row>
    <row r="149">
      <c r="D149" s="18"/>
      <c r="E149" s="18"/>
    </row>
    <row r="150">
      <c r="D150" s="18"/>
      <c r="E150" s="18"/>
    </row>
    <row r="151">
      <c r="D151" s="18"/>
      <c r="E151" s="18"/>
    </row>
    <row r="152">
      <c r="D152" s="18"/>
      <c r="E152" s="18"/>
    </row>
    <row r="153">
      <c r="D153" s="18"/>
      <c r="E153" s="18"/>
    </row>
    <row r="154">
      <c r="D154" s="18"/>
      <c r="E154" s="18"/>
    </row>
    <row r="155">
      <c r="D155" s="18"/>
      <c r="E155" s="18"/>
    </row>
    <row r="156">
      <c r="D156" s="18"/>
      <c r="E156" s="18"/>
    </row>
    <row r="157">
      <c r="D157" s="18"/>
      <c r="E157" s="18"/>
    </row>
    <row r="158">
      <c r="D158" s="18"/>
      <c r="E158" s="18"/>
    </row>
    <row r="159">
      <c r="D159" s="18"/>
      <c r="E159" s="18"/>
    </row>
    <row r="160">
      <c r="D160" s="18"/>
      <c r="E160" s="18"/>
    </row>
    <row r="161">
      <c r="D161" s="18"/>
      <c r="E161" s="18"/>
    </row>
    <row r="162">
      <c r="D162" s="18"/>
      <c r="E162" s="18"/>
    </row>
    <row r="163">
      <c r="D163" s="18"/>
      <c r="E163" s="18"/>
    </row>
    <row r="164">
      <c r="D164" s="18"/>
      <c r="E164" s="18"/>
    </row>
    <row r="165">
      <c r="D165" s="18"/>
      <c r="E165" s="18"/>
    </row>
    <row r="166">
      <c r="D166" s="18"/>
      <c r="E166" s="18"/>
    </row>
    <row r="167">
      <c r="D167" s="18"/>
      <c r="E167" s="18"/>
    </row>
    <row r="168">
      <c r="D168" s="18"/>
      <c r="E168" s="18"/>
    </row>
    <row r="169">
      <c r="D169" s="18"/>
      <c r="E169" s="18"/>
    </row>
    <row r="170">
      <c r="D170" s="18"/>
      <c r="E170" s="18"/>
    </row>
    <row r="171">
      <c r="D171" s="18"/>
      <c r="E171" s="18"/>
    </row>
    <row r="172">
      <c r="D172" s="18"/>
      <c r="E172" s="18"/>
    </row>
    <row r="173">
      <c r="D173" s="18"/>
      <c r="E173" s="18"/>
    </row>
    <row r="174">
      <c r="D174" s="18"/>
      <c r="E174" s="18"/>
    </row>
    <row r="175">
      <c r="D175" s="18"/>
      <c r="E175" s="18"/>
    </row>
    <row r="176">
      <c r="D176" s="18"/>
      <c r="E176" s="18"/>
    </row>
    <row r="177">
      <c r="D177" s="18"/>
      <c r="E177" s="18"/>
    </row>
    <row r="178">
      <c r="D178" s="18"/>
      <c r="E178" s="18"/>
    </row>
    <row r="179">
      <c r="D179" s="18"/>
      <c r="E179" s="18"/>
    </row>
    <row r="180">
      <c r="D180" s="18"/>
      <c r="E180" s="18"/>
    </row>
    <row r="181">
      <c r="D181" s="18"/>
      <c r="E181" s="18"/>
    </row>
    <row r="182">
      <c r="D182" s="18"/>
      <c r="E182" s="18"/>
    </row>
    <row r="183">
      <c r="D183" s="18"/>
      <c r="E183" s="18"/>
    </row>
    <row r="184">
      <c r="D184" s="18"/>
      <c r="E184" s="18"/>
    </row>
    <row r="185">
      <c r="D185" s="18"/>
      <c r="E185" s="18"/>
    </row>
    <row r="186">
      <c r="D186" s="18"/>
      <c r="E186" s="18"/>
    </row>
    <row r="187">
      <c r="D187" s="18"/>
      <c r="E187" s="18"/>
    </row>
    <row r="188">
      <c r="D188" s="18"/>
      <c r="E188" s="18"/>
    </row>
    <row r="189">
      <c r="D189" s="18"/>
      <c r="E189" s="18"/>
    </row>
    <row r="190">
      <c r="D190" s="18"/>
      <c r="E190" s="18"/>
    </row>
    <row r="191">
      <c r="D191" s="18"/>
      <c r="E191" s="18"/>
    </row>
    <row r="192">
      <c r="D192" s="18"/>
      <c r="E192" s="18"/>
    </row>
    <row r="193">
      <c r="D193" s="18"/>
      <c r="E193" s="18"/>
    </row>
    <row r="194">
      <c r="D194" s="18"/>
      <c r="E194" s="18"/>
    </row>
    <row r="195">
      <c r="D195" s="18"/>
      <c r="E195" s="18"/>
    </row>
    <row r="196">
      <c r="D196" s="18"/>
      <c r="E196" s="18"/>
    </row>
    <row r="197">
      <c r="D197" s="18"/>
      <c r="E197" s="18"/>
    </row>
    <row r="198">
      <c r="D198" s="18"/>
      <c r="E198" s="18"/>
    </row>
    <row r="199">
      <c r="D199" s="18"/>
      <c r="E199" s="18"/>
    </row>
    <row r="200">
      <c r="D200" s="18"/>
      <c r="E200" s="18"/>
    </row>
    <row r="201">
      <c r="D201" s="18"/>
      <c r="E201" s="18"/>
    </row>
    <row r="202">
      <c r="D202" s="18"/>
      <c r="E202" s="18"/>
    </row>
    <row r="203">
      <c r="D203" s="18"/>
      <c r="E203" s="18"/>
    </row>
    <row r="204">
      <c r="D204" s="18"/>
      <c r="E204" s="18"/>
    </row>
    <row r="205">
      <c r="D205" s="18"/>
      <c r="E205" s="18"/>
    </row>
    <row r="206">
      <c r="D206" s="18"/>
      <c r="E206" s="18"/>
    </row>
    <row r="207">
      <c r="D207" s="18"/>
      <c r="E207" s="18"/>
    </row>
    <row r="208">
      <c r="D208" s="18"/>
      <c r="E208" s="18"/>
    </row>
    <row r="209">
      <c r="D209" s="18"/>
      <c r="E209" s="18"/>
    </row>
    <row r="210">
      <c r="D210" s="18"/>
      <c r="E210" s="18"/>
    </row>
    <row r="211">
      <c r="D211" s="18"/>
      <c r="E211" s="18"/>
    </row>
    <row r="212">
      <c r="D212" s="18"/>
      <c r="E212" s="18"/>
    </row>
    <row r="213">
      <c r="D213" s="18"/>
      <c r="E213" s="18"/>
    </row>
    <row r="214">
      <c r="D214" s="18"/>
      <c r="E214" s="18"/>
    </row>
    <row r="215">
      <c r="D215" s="18"/>
      <c r="E215" s="18"/>
    </row>
    <row r="216">
      <c r="D216" s="18"/>
      <c r="E216" s="18"/>
    </row>
    <row r="217">
      <c r="D217" s="18"/>
      <c r="E217" s="18"/>
    </row>
    <row r="218">
      <c r="D218" s="18"/>
      <c r="E218" s="18"/>
    </row>
    <row r="219">
      <c r="D219" s="18"/>
      <c r="E219" s="18"/>
    </row>
    <row r="220">
      <c r="D220" s="18"/>
      <c r="E220" s="18"/>
    </row>
    <row r="221">
      <c r="D221" s="18"/>
      <c r="E221" s="18"/>
    </row>
    <row r="222">
      <c r="D222" s="18"/>
      <c r="E222" s="18"/>
    </row>
    <row r="223">
      <c r="D223" s="18"/>
      <c r="E223" s="18"/>
    </row>
    <row r="224">
      <c r="D224" s="18"/>
      <c r="E224" s="18"/>
    </row>
    <row r="225">
      <c r="D225" s="18"/>
      <c r="E225" s="18"/>
    </row>
    <row r="226">
      <c r="D226" s="18"/>
      <c r="E226" s="18"/>
    </row>
    <row r="227">
      <c r="D227" s="18"/>
      <c r="E227" s="18"/>
    </row>
    <row r="228">
      <c r="D228" s="18"/>
      <c r="E228" s="18"/>
    </row>
    <row r="229">
      <c r="D229" s="18"/>
      <c r="E229" s="18"/>
    </row>
    <row r="230">
      <c r="D230" s="18"/>
      <c r="E230" s="18"/>
    </row>
    <row r="231">
      <c r="D231" s="18"/>
      <c r="E231" s="18"/>
    </row>
    <row r="232">
      <c r="D232" s="18"/>
      <c r="E232" s="18"/>
    </row>
    <row r="233">
      <c r="D233" s="18"/>
      <c r="E233" s="18"/>
    </row>
    <row r="234">
      <c r="D234" s="18"/>
      <c r="E234" s="18"/>
    </row>
    <row r="235">
      <c r="D235" s="18"/>
      <c r="E235" s="18"/>
    </row>
    <row r="236">
      <c r="D236" s="18"/>
      <c r="E236" s="18"/>
    </row>
    <row r="237">
      <c r="D237" s="18"/>
      <c r="E237" s="18"/>
    </row>
    <row r="238">
      <c r="D238" s="18"/>
      <c r="E238" s="18"/>
    </row>
    <row r="239">
      <c r="D239" s="18"/>
      <c r="E239" s="18"/>
    </row>
    <row r="240">
      <c r="D240" s="18"/>
      <c r="E240" s="18"/>
    </row>
    <row r="241">
      <c r="D241" s="18"/>
      <c r="E241" s="18"/>
    </row>
    <row r="242">
      <c r="D242" s="18"/>
      <c r="E242" s="18"/>
    </row>
    <row r="243">
      <c r="D243" s="18"/>
      <c r="E243" s="18"/>
    </row>
    <row r="244">
      <c r="D244" s="18"/>
      <c r="E244" s="18"/>
    </row>
    <row r="245">
      <c r="D245" s="18"/>
      <c r="E245" s="18"/>
    </row>
    <row r="246">
      <c r="D246" s="18"/>
      <c r="E246" s="18"/>
    </row>
    <row r="247">
      <c r="D247" s="18"/>
      <c r="E247" s="18"/>
    </row>
    <row r="248">
      <c r="D248" s="18"/>
      <c r="E248" s="18"/>
    </row>
    <row r="249">
      <c r="D249" s="18"/>
      <c r="E249" s="18"/>
    </row>
    <row r="250">
      <c r="D250" s="18"/>
      <c r="E250" s="18"/>
    </row>
    <row r="251">
      <c r="D251" s="18"/>
      <c r="E251" s="18"/>
    </row>
    <row r="252">
      <c r="D252" s="18"/>
      <c r="E252" s="18"/>
    </row>
    <row r="253">
      <c r="D253" s="18"/>
      <c r="E253" s="18"/>
    </row>
    <row r="254">
      <c r="D254" s="18"/>
      <c r="E254" s="18"/>
    </row>
    <row r="255">
      <c r="D255" s="18"/>
      <c r="E255" s="18"/>
    </row>
    <row r="256">
      <c r="D256" s="18"/>
      <c r="E256" s="18"/>
    </row>
    <row r="257">
      <c r="D257" s="18"/>
      <c r="E257" s="18"/>
    </row>
    <row r="258">
      <c r="D258" s="18"/>
      <c r="E258" s="18"/>
    </row>
    <row r="259">
      <c r="D259" s="18"/>
      <c r="E259" s="18"/>
    </row>
    <row r="260">
      <c r="D260" s="18"/>
      <c r="E260" s="18"/>
    </row>
    <row r="261">
      <c r="D261" s="18"/>
      <c r="E261" s="18"/>
    </row>
    <row r="262">
      <c r="D262" s="18"/>
      <c r="E262" s="18"/>
    </row>
    <row r="263">
      <c r="D263" s="18"/>
      <c r="E263" s="18"/>
    </row>
    <row r="264">
      <c r="D264" s="18"/>
      <c r="E264" s="18"/>
    </row>
    <row r="265">
      <c r="D265" s="18"/>
      <c r="E265" s="18"/>
    </row>
    <row r="266">
      <c r="D266" s="18"/>
      <c r="E266" s="18"/>
    </row>
    <row r="267">
      <c r="D267" s="18"/>
      <c r="E267" s="18"/>
    </row>
    <row r="268">
      <c r="D268" s="18"/>
      <c r="E268" s="18"/>
    </row>
    <row r="269">
      <c r="D269" s="18"/>
      <c r="E269" s="18"/>
    </row>
    <row r="270">
      <c r="D270" s="18"/>
      <c r="E270" s="18"/>
    </row>
    <row r="271">
      <c r="D271" s="18"/>
      <c r="E271" s="18"/>
    </row>
    <row r="272">
      <c r="D272" s="18"/>
      <c r="E272" s="18"/>
    </row>
    <row r="273">
      <c r="D273" s="18"/>
      <c r="E273" s="18"/>
    </row>
    <row r="274">
      <c r="D274" s="18"/>
      <c r="E274" s="18"/>
    </row>
    <row r="275">
      <c r="D275" s="18"/>
      <c r="E275" s="18"/>
    </row>
    <row r="276">
      <c r="D276" s="18"/>
      <c r="E276" s="18"/>
    </row>
    <row r="277">
      <c r="D277" s="18"/>
      <c r="E277" s="18"/>
    </row>
    <row r="278">
      <c r="D278" s="18"/>
      <c r="E278" s="18"/>
    </row>
    <row r="279">
      <c r="D279" s="18"/>
      <c r="E279" s="18"/>
    </row>
    <row r="280">
      <c r="D280" s="18"/>
      <c r="E280" s="18"/>
    </row>
    <row r="281">
      <c r="D281" s="18"/>
      <c r="E281" s="18"/>
    </row>
    <row r="282">
      <c r="D282" s="18"/>
      <c r="E282" s="18"/>
    </row>
    <row r="283">
      <c r="D283" s="18"/>
      <c r="E283" s="18"/>
    </row>
    <row r="284">
      <c r="D284" s="18"/>
      <c r="E284" s="18"/>
    </row>
    <row r="285">
      <c r="D285" s="18"/>
      <c r="E285" s="18"/>
    </row>
    <row r="286">
      <c r="D286" s="18"/>
      <c r="E286" s="18"/>
    </row>
    <row r="287">
      <c r="D287" s="18"/>
      <c r="E287" s="18"/>
    </row>
    <row r="288">
      <c r="D288" s="18"/>
      <c r="E288" s="18"/>
    </row>
    <row r="289">
      <c r="D289" s="18"/>
      <c r="E289" s="18"/>
    </row>
    <row r="290">
      <c r="D290" s="18"/>
      <c r="E290" s="18"/>
    </row>
    <row r="291">
      <c r="D291" s="18"/>
      <c r="E291" s="18"/>
    </row>
    <row r="292">
      <c r="D292" s="18"/>
      <c r="E292" s="18"/>
    </row>
    <row r="293">
      <c r="D293" s="18"/>
      <c r="E293" s="18"/>
    </row>
    <row r="294">
      <c r="D294" s="18"/>
      <c r="E294" s="18"/>
    </row>
    <row r="295">
      <c r="D295" s="18"/>
      <c r="E295" s="18"/>
    </row>
    <row r="296">
      <c r="D296" s="18"/>
      <c r="E296" s="18"/>
    </row>
    <row r="297">
      <c r="D297" s="18"/>
      <c r="E297" s="18"/>
    </row>
    <row r="298">
      <c r="D298" s="18"/>
      <c r="E298" s="18"/>
    </row>
    <row r="299">
      <c r="D299" s="18"/>
      <c r="E299" s="18"/>
    </row>
    <row r="300">
      <c r="D300" s="18"/>
      <c r="E300" s="18"/>
    </row>
    <row r="301">
      <c r="D301" s="18"/>
      <c r="E301" s="18"/>
    </row>
    <row r="302">
      <c r="D302" s="18"/>
      <c r="E302" s="18"/>
    </row>
    <row r="303">
      <c r="D303" s="18"/>
      <c r="E303" s="18"/>
    </row>
    <row r="304">
      <c r="D304" s="18"/>
      <c r="E304" s="18"/>
    </row>
    <row r="305">
      <c r="D305" s="18"/>
      <c r="E305" s="18"/>
    </row>
    <row r="306">
      <c r="D306" s="18"/>
      <c r="E306" s="18"/>
    </row>
    <row r="307">
      <c r="D307" s="18"/>
      <c r="E307" s="18"/>
    </row>
    <row r="308">
      <c r="D308" s="18"/>
      <c r="E308" s="18"/>
    </row>
    <row r="309">
      <c r="D309" s="18"/>
      <c r="E309" s="18"/>
    </row>
    <row r="310">
      <c r="D310" s="18"/>
      <c r="E310" s="18"/>
    </row>
    <row r="311">
      <c r="D311" s="18"/>
      <c r="E311" s="18"/>
    </row>
    <row r="312">
      <c r="D312" s="18"/>
      <c r="E312" s="18"/>
    </row>
    <row r="313">
      <c r="D313" s="18"/>
      <c r="E313" s="18"/>
    </row>
    <row r="314">
      <c r="D314" s="18"/>
      <c r="E314" s="18"/>
    </row>
    <row r="315">
      <c r="D315" s="18"/>
      <c r="E315" s="18"/>
    </row>
    <row r="316">
      <c r="D316" s="18"/>
      <c r="E316" s="18"/>
    </row>
    <row r="317">
      <c r="D317" s="18"/>
      <c r="E317" s="18"/>
    </row>
    <row r="318">
      <c r="D318" s="18"/>
      <c r="E318" s="18"/>
    </row>
    <row r="319">
      <c r="D319" s="18"/>
      <c r="E319" s="18"/>
    </row>
    <row r="320">
      <c r="D320" s="18"/>
      <c r="E320" s="18"/>
    </row>
    <row r="321">
      <c r="D321" s="18"/>
      <c r="E321" s="18"/>
    </row>
    <row r="322">
      <c r="D322" s="18"/>
      <c r="E322" s="18"/>
    </row>
    <row r="323">
      <c r="D323" s="18"/>
      <c r="E323" s="18"/>
    </row>
    <row r="324">
      <c r="D324" s="18"/>
      <c r="E324" s="18"/>
    </row>
    <row r="325">
      <c r="D325" s="18"/>
      <c r="E325" s="18"/>
    </row>
    <row r="326">
      <c r="D326" s="18"/>
      <c r="E326" s="18"/>
    </row>
    <row r="327">
      <c r="D327" s="18"/>
      <c r="E327" s="18"/>
    </row>
    <row r="328">
      <c r="D328" s="18"/>
      <c r="E328" s="18"/>
    </row>
    <row r="329">
      <c r="D329" s="18"/>
      <c r="E329" s="18"/>
    </row>
    <row r="330">
      <c r="D330" s="18"/>
      <c r="E330" s="18"/>
    </row>
    <row r="331">
      <c r="D331" s="18"/>
      <c r="E331" s="18"/>
    </row>
    <row r="332">
      <c r="D332" s="18"/>
      <c r="E332" s="18"/>
    </row>
    <row r="333">
      <c r="D333" s="18"/>
      <c r="E333" s="18"/>
    </row>
    <row r="334">
      <c r="D334" s="18"/>
      <c r="E334" s="18"/>
    </row>
    <row r="335">
      <c r="D335" s="18"/>
      <c r="E335" s="18"/>
    </row>
    <row r="336">
      <c r="D336" s="18"/>
      <c r="E336" s="18"/>
    </row>
    <row r="337">
      <c r="D337" s="18"/>
      <c r="E337" s="18"/>
    </row>
    <row r="338">
      <c r="D338" s="18"/>
      <c r="E338" s="18"/>
    </row>
    <row r="339">
      <c r="D339" s="18"/>
      <c r="E339" s="18"/>
    </row>
    <row r="340">
      <c r="D340" s="18"/>
      <c r="E340" s="18"/>
    </row>
    <row r="341">
      <c r="D341" s="18"/>
      <c r="E341" s="18"/>
    </row>
    <row r="342">
      <c r="D342" s="18"/>
      <c r="E342" s="18"/>
    </row>
    <row r="343">
      <c r="D343" s="18"/>
      <c r="E343" s="18"/>
    </row>
    <row r="344">
      <c r="D344" s="18"/>
      <c r="E344" s="18"/>
    </row>
    <row r="345">
      <c r="D345" s="18"/>
      <c r="E345" s="18"/>
    </row>
    <row r="346">
      <c r="D346" s="18"/>
      <c r="E346" s="18"/>
    </row>
    <row r="347">
      <c r="D347" s="18"/>
      <c r="E347" s="18"/>
    </row>
    <row r="348">
      <c r="D348" s="18"/>
      <c r="E348" s="18"/>
    </row>
    <row r="349">
      <c r="D349" s="18"/>
      <c r="E349" s="18"/>
    </row>
    <row r="350">
      <c r="D350" s="18"/>
      <c r="E350" s="18"/>
    </row>
    <row r="351">
      <c r="D351" s="18"/>
      <c r="E351" s="18"/>
    </row>
    <row r="352">
      <c r="D352" s="18"/>
      <c r="E352" s="18"/>
    </row>
    <row r="353">
      <c r="D353" s="18"/>
      <c r="E353" s="18"/>
    </row>
    <row r="354">
      <c r="D354" s="18"/>
      <c r="E354" s="18"/>
    </row>
    <row r="355">
      <c r="D355" s="18"/>
      <c r="E355" s="18"/>
    </row>
    <row r="356">
      <c r="D356" s="18"/>
      <c r="E356" s="18"/>
    </row>
    <row r="357">
      <c r="D357" s="18"/>
      <c r="E357" s="18"/>
    </row>
    <row r="358">
      <c r="D358" s="18"/>
      <c r="E358" s="18"/>
    </row>
    <row r="359">
      <c r="D359" s="18"/>
      <c r="E359" s="18"/>
    </row>
    <row r="360">
      <c r="D360" s="18"/>
      <c r="E360" s="18"/>
    </row>
    <row r="361">
      <c r="D361" s="18"/>
      <c r="E361" s="18"/>
    </row>
    <row r="362">
      <c r="D362" s="18"/>
      <c r="E362" s="18"/>
    </row>
    <row r="363">
      <c r="D363" s="18"/>
      <c r="E363" s="18"/>
    </row>
    <row r="364">
      <c r="D364" s="18"/>
      <c r="E364" s="18"/>
    </row>
    <row r="365">
      <c r="D365" s="18"/>
      <c r="E365" s="18"/>
    </row>
    <row r="366">
      <c r="D366" s="18"/>
      <c r="E366" s="18"/>
    </row>
    <row r="367">
      <c r="D367" s="18"/>
      <c r="E367" s="18"/>
    </row>
    <row r="368">
      <c r="D368" s="18"/>
      <c r="E368" s="18"/>
    </row>
    <row r="369">
      <c r="D369" s="18"/>
      <c r="E369" s="18"/>
    </row>
    <row r="370">
      <c r="D370" s="18"/>
      <c r="E370" s="18"/>
    </row>
    <row r="371">
      <c r="D371" s="18"/>
      <c r="E371" s="18"/>
    </row>
    <row r="372">
      <c r="D372" s="18"/>
      <c r="E372" s="18"/>
    </row>
    <row r="373">
      <c r="D373" s="18"/>
      <c r="E373" s="18"/>
    </row>
    <row r="374">
      <c r="D374" s="18"/>
      <c r="E374" s="18"/>
    </row>
    <row r="375">
      <c r="D375" s="18"/>
      <c r="E375" s="18"/>
    </row>
    <row r="376">
      <c r="D376" s="18"/>
      <c r="E376" s="18"/>
    </row>
    <row r="377">
      <c r="D377" s="18"/>
      <c r="E377" s="18"/>
    </row>
    <row r="378">
      <c r="D378" s="18"/>
      <c r="E378" s="18"/>
    </row>
    <row r="379">
      <c r="D379" s="18"/>
      <c r="E379" s="18"/>
    </row>
    <row r="380">
      <c r="D380" s="18"/>
      <c r="E380" s="18"/>
    </row>
    <row r="381">
      <c r="D381" s="18"/>
      <c r="E381" s="18"/>
    </row>
    <row r="382">
      <c r="D382" s="18"/>
      <c r="E382" s="18"/>
    </row>
    <row r="383">
      <c r="D383" s="18"/>
      <c r="E383" s="18"/>
    </row>
    <row r="384">
      <c r="D384" s="18"/>
      <c r="E384" s="18"/>
    </row>
    <row r="385">
      <c r="D385" s="18"/>
      <c r="E385" s="18"/>
    </row>
    <row r="386">
      <c r="D386" s="18"/>
      <c r="E386" s="18"/>
    </row>
    <row r="387">
      <c r="D387" s="18"/>
      <c r="E387" s="18"/>
    </row>
    <row r="388">
      <c r="D388" s="18"/>
      <c r="E388" s="18"/>
    </row>
    <row r="389">
      <c r="D389" s="18"/>
      <c r="E389" s="18"/>
    </row>
    <row r="390">
      <c r="D390" s="18"/>
      <c r="E390" s="18"/>
    </row>
    <row r="391">
      <c r="D391" s="18"/>
      <c r="E391" s="18"/>
    </row>
    <row r="392">
      <c r="D392" s="18"/>
      <c r="E392" s="18"/>
    </row>
    <row r="393">
      <c r="D393" s="18"/>
      <c r="E393" s="18"/>
    </row>
    <row r="394">
      <c r="D394" s="18"/>
      <c r="E394" s="18"/>
    </row>
    <row r="395">
      <c r="D395" s="18"/>
      <c r="E395" s="18"/>
    </row>
    <row r="396">
      <c r="D396" s="18"/>
      <c r="E396" s="18"/>
    </row>
    <row r="397">
      <c r="D397" s="18"/>
      <c r="E397" s="18"/>
    </row>
    <row r="398">
      <c r="D398" s="18"/>
      <c r="E398" s="18"/>
    </row>
    <row r="399">
      <c r="D399" s="18"/>
      <c r="E399" s="18"/>
    </row>
    <row r="400">
      <c r="D400" s="18"/>
      <c r="E400" s="18"/>
    </row>
    <row r="401">
      <c r="D401" s="18"/>
      <c r="E401" s="18"/>
    </row>
    <row r="402">
      <c r="D402" s="18"/>
      <c r="E402" s="18"/>
    </row>
    <row r="403">
      <c r="D403" s="18"/>
      <c r="E403" s="18"/>
    </row>
    <row r="404">
      <c r="D404" s="18"/>
      <c r="E404" s="18"/>
    </row>
    <row r="405">
      <c r="D405" s="18"/>
      <c r="E405" s="18"/>
    </row>
    <row r="406">
      <c r="D406" s="18"/>
      <c r="E406" s="18"/>
    </row>
    <row r="407">
      <c r="D407" s="18"/>
      <c r="E407" s="18"/>
    </row>
    <row r="408">
      <c r="D408" s="18"/>
      <c r="E408" s="18"/>
    </row>
    <row r="409">
      <c r="D409" s="18"/>
      <c r="E409" s="18"/>
    </row>
    <row r="410">
      <c r="D410" s="18"/>
      <c r="E410" s="18"/>
    </row>
    <row r="411">
      <c r="D411" s="18"/>
      <c r="E411" s="18"/>
    </row>
    <row r="412">
      <c r="D412" s="18"/>
      <c r="E412" s="18"/>
    </row>
    <row r="413">
      <c r="D413" s="18"/>
      <c r="E413" s="18"/>
    </row>
    <row r="414">
      <c r="D414" s="18"/>
      <c r="E414" s="18"/>
    </row>
    <row r="415">
      <c r="D415" s="18"/>
      <c r="E415" s="18"/>
    </row>
    <row r="416">
      <c r="D416" s="18"/>
      <c r="E416" s="18"/>
    </row>
    <row r="417">
      <c r="D417" s="18"/>
      <c r="E417" s="18"/>
    </row>
    <row r="418">
      <c r="D418" s="18"/>
      <c r="E418" s="18"/>
    </row>
    <row r="419">
      <c r="D419" s="18"/>
      <c r="E419" s="18"/>
    </row>
    <row r="420">
      <c r="D420" s="18"/>
      <c r="E420" s="18"/>
    </row>
    <row r="421">
      <c r="D421" s="18"/>
      <c r="E421" s="18"/>
    </row>
    <row r="422">
      <c r="D422" s="18"/>
      <c r="E422" s="18"/>
    </row>
    <row r="423">
      <c r="D423" s="18"/>
      <c r="E423" s="18"/>
    </row>
    <row r="424">
      <c r="D424" s="18"/>
      <c r="E424" s="18"/>
    </row>
    <row r="425">
      <c r="D425" s="18"/>
      <c r="E425" s="18"/>
    </row>
    <row r="426">
      <c r="D426" s="18"/>
      <c r="E426" s="18"/>
    </row>
    <row r="427">
      <c r="D427" s="18"/>
      <c r="E427" s="18"/>
    </row>
    <row r="428">
      <c r="D428" s="18"/>
      <c r="E428" s="18"/>
    </row>
    <row r="429">
      <c r="D429" s="18"/>
      <c r="E429" s="18"/>
    </row>
    <row r="430">
      <c r="D430" s="18"/>
      <c r="E430" s="18"/>
    </row>
    <row r="431">
      <c r="D431" s="18"/>
      <c r="E431" s="18"/>
    </row>
    <row r="432">
      <c r="D432" s="18"/>
      <c r="E432" s="18"/>
    </row>
    <row r="433">
      <c r="D433" s="18"/>
      <c r="E433" s="18"/>
    </row>
    <row r="434">
      <c r="D434" s="18"/>
      <c r="E434" s="18"/>
    </row>
    <row r="435">
      <c r="D435" s="18"/>
      <c r="E435" s="18"/>
    </row>
    <row r="436">
      <c r="D436" s="18"/>
      <c r="E436" s="18"/>
    </row>
    <row r="437">
      <c r="D437" s="18"/>
      <c r="E437" s="18"/>
    </row>
    <row r="438">
      <c r="D438" s="18"/>
      <c r="E438" s="18"/>
    </row>
    <row r="439">
      <c r="D439" s="18"/>
      <c r="E439" s="18"/>
    </row>
    <row r="440">
      <c r="D440" s="18"/>
      <c r="E440" s="18"/>
    </row>
    <row r="441">
      <c r="D441" s="18"/>
      <c r="E441" s="18"/>
    </row>
    <row r="442">
      <c r="D442" s="18"/>
      <c r="E442" s="18"/>
    </row>
    <row r="443">
      <c r="D443" s="18"/>
      <c r="E443" s="18"/>
    </row>
    <row r="444">
      <c r="D444" s="18"/>
      <c r="E444" s="18"/>
    </row>
    <row r="445">
      <c r="D445" s="18"/>
      <c r="E445" s="18"/>
    </row>
    <row r="446">
      <c r="D446" s="18"/>
      <c r="E446" s="18"/>
    </row>
    <row r="447">
      <c r="D447" s="18"/>
      <c r="E447" s="18"/>
    </row>
    <row r="448">
      <c r="D448" s="18"/>
      <c r="E448" s="18"/>
    </row>
    <row r="449">
      <c r="D449" s="18"/>
      <c r="E449" s="18"/>
    </row>
    <row r="450">
      <c r="D450" s="18"/>
      <c r="E450" s="18"/>
    </row>
    <row r="451">
      <c r="D451" s="18"/>
      <c r="E451" s="18"/>
    </row>
    <row r="452">
      <c r="D452" s="18"/>
      <c r="E452" s="18"/>
    </row>
    <row r="453">
      <c r="D453" s="18"/>
      <c r="E453" s="18"/>
    </row>
    <row r="454">
      <c r="D454" s="18"/>
      <c r="E454" s="18"/>
    </row>
    <row r="455">
      <c r="D455" s="18"/>
      <c r="E455" s="18"/>
    </row>
    <row r="456">
      <c r="D456" s="18"/>
      <c r="E456" s="18"/>
    </row>
    <row r="457">
      <c r="D457" s="18"/>
      <c r="E457" s="18"/>
    </row>
    <row r="458">
      <c r="D458" s="18"/>
      <c r="E458" s="18"/>
    </row>
    <row r="459">
      <c r="D459" s="18"/>
      <c r="E459" s="18"/>
    </row>
    <row r="460">
      <c r="D460" s="18"/>
      <c r="E460" s="18"/>
    </row>
    <row r="461">
      <c r="D461" s="18"/>
      <c r="E461" s="18"/>
    </row>
    <row r="462">
      <c r="D462" s="18"/>
      <c r="E462" s="18"/>
    </row>
    <row r="463">
      <c r="D463" s="18"/>
      <c r="E463" s="18"/>
    </row>
    <row r="464">
      <c r="D464" s="18"/>
      <c r="E464" s="18"/>
    </row>
    <row r="465">
      <c r="D465" s="18"/>
      <c r="E465" s="18"/>
    </row>
    <row r="466">
      <c r="D466" s="18"/>
      <c r="E466" s="18"/>
    </row>
    <row r="467">
      <c r="D467" s="18"/>
      <c r="E467" s="18"/>
    </row>
    <row r="468">
      <c r="D468" s="18"/>
      <c r="E468" s="18"/>
    </row>
    <row r="469">
      <c r="D469" s="18"/>
      <c r="E469" s="18"/>
    </row>
    <row r="470">
      <c r="D470" s="18"/>
      <c r="E470" s="18"/>
    </row>
    <row r="471">
      <c r="D471" s="18"/>
      <c r="E471" s="18"/>
    </row>
    <row r="472">
      <c r="D472" s="18"/>
      <c r="E472" s="18"/>
    </row>
    <row r="473">
      <c r="D473" s="18"/>
      <c r="E473" s="18"/>
    </row>
    <row r="474">
      <c r="D474" s="18"/>
      <c r="E474" s="18"/>
    </row>
    <row r="475">
      <c r="D475" s="18"/>
      <c r="E475" s="18"/>
    </row>
    <row r="476">
      <c r="D476" s="18"/>
      <c r="E476" s="18"/>
    </row>
    <row r="477">
      <c r="D477" s="18"/>
      <c r="E477" s="18"/>
    </row>
    <row r="478">
      <c r="D478" s="18"/>
      <c r="E478" s="18"/>
    </row>
    <row r="479">
      <c r="D479" s="18"/>
      <c r="E479" s="18"/>
    </row>
    <row r="480">
      <c r="D480" s="18"/>
      <c r="E480" s="18"/>
    </row>
    <row r="481">
      <c r="D481" s="18"/>
      <c r="E481" s="18"/>
    </row>
    <row r="482">
      <c r="D482" s="18"/>
      <c r="E482" s="18"/>
    </row>
    <row r="483">
      <c r="D483" s="18"/>
      <c r="E483" s="18"/>
    </row>
    <row r="484">
      <c r="D484" s="18"/>
      <c r="E484" s="18"/>
    </row>
    <row r="485">
      <c r="D485" s="18"/>
      <c r="E485" s="18"/>
    </row>
    <row r="486">
      <c r="D486" s="18"/>
      <c r="E486" s="18"/>
    </row>
    <row r="487">
      <c r="D487" s="18"/>
      <c r="E487" s="18"/>
    </row>
    <row r="488">
      <c r="D488" s="18"/>
      <c r="E488" s="18"/>
    </row>
    <row r="489">
      <c r="D489" s="18"/>
      <c r="E489" s="18"/>
    </row>
    <row r="490">
      <c r="D490" s="18"/>
      <c r="E490" s="18"/>
    </row>
    <row r="491">
      <c r="D491" s="18"/>
      <c r="E491" s="18"/>
    </row>
    <row r="492">
      <c r="D492" s="18"/>
      <c r="E492" s="18"/>
    </row>
    <row r="493">
      <c r="D493" s="18"/>
      <c r="E493" s="18"/>
    </row>
    <row r="494">
      <c r="D494" s="18"/>
      <c r="E494" s="18"/>
    </row>
    <row r="495">
      <c r="D495" s="18"/>
      <c r="E495" s="18"/>
    </row>
    <row r="496">
      <c r="D496" s="18"/>
      <c r="E496" s="18"/>
    </row>
    <row r="497">
      <c r="D497" s="18"/>
      <c r="E497" s="18"/>
    </row>
    <row r="498">
      <c r="D498" s="18"/>
      <c r="E498" s="18"/>
    </row>
    <row r="499">
      <c r="D499" s="18"/>
      <c r="E499" s="18"/>
    </row>
    <row r="500">
      <c r="D500" s="18"/>
      <c r="E500" s="18"/>
    </row>
    <row r="501">
      <c r="D501" s="18"/>
      <c r="E501" s="18"/>
    </row>
    <row r="502">
      <c r="D502" s="18"/>
      <c r="E502" s="18"/>
    </row>
    <row r="503">
      <c r="D503" s="18"/>
      <c r="E503" s="18"/>
    </row>
    <row r="504">
      <c r="D504" s="18"/>
      <c r="E504" s="18"/>
    </row>
    <row r="505">
      <c r="D505" s="18"/>
      <c r="E505" s="18"/>
    </row>
    <row r="506">
      <c r="D506" s="18"/>
      <c r="E506" s="18"/>
    </row>
    <row r="507">
      <c r="D507" s="18"/>
      <c r="E507" s="18"/>
    </row>
    <row r="508">
      <c r="D508" s="18"/>
      <c r="E508" s="18"/>
    </row>
    <row r="509">
      <c r="D509" s="18"/>
      <c r="E509" s="18"/>
    </row>
    <row r="510">
      <c r="D510" s="18"/>
      <c r="E510" s="18"/>
    </row>
    <row r="511">
      <c r="D511" s="18"/>
      <c r="E511" s="18"/>
    </row>
    <row r="512">
      <c r="D512" s="18"/>
      <c r="E512" s="18"/>
    </row>
    <row r="513">
      <c r="D513" s="18"/>
      <c r="E513" s="18"/>
    </row>
    <row r="514">
      <c r="D514" s="18"/>
      <c r="E514" s="18"/>
    </row>
    <row r="515">
      <c r="D515" s="18"/>
      <c r="E515" s="18"/>
    </row>
    <row r="516">
      <c r="D516" s="18"/>
      <c r="E516" s="18"/>
    </row>
    <row r="517">
      <c r="D517" s="18"/>
      <c r="E517" s="18"/>
    </row>
    <row r="518">
      <c r="D518" s="18"/>
      <c r="E518" s="18"/>
    </row>
    <row r="519">
      <c r="D519" s="18"/>
      <c r="E519" s="18"/>
    </row>
    <row r="520">
      <c r="D520" s="18"/>
      <c r="E520" s="18"/>
    </row>
    <row r="521">
      <c r="D521" s="18"/>
      <c r="E521" s="18"/>
    </row>
    <row r="522">
      <c r="D522" s="18"/>
      <c r="E522" s="18"/>
    </row>
    <row r="523">
      <c r="D523" s="18"/>
      <c r="E523" s="18"/>
    </row>
    <row r="524">
      <c r="D524" s="18"/>
      <c r="E524" s="18"/>
    </row>
    <row r="525">
      <c r="D525" s="18"/>
      <c r="E525" s="18"/>
    </row>
    <row r="526">
      <c r="D526" s="18"/>
      <c r="E526" s="18"/>
    </row>
    <row r="527">
      <c r="D527" s="18"/>
      <c r="E527" s="18"/>
    </row>
    <row r="528">
      <c r="D528" s="18"/>
      <c r="E528" s="18"/>
    </row>
    <row r="529">
      <c r="D529" s="18"/>
      <c r="E529" s="18"/>
    </row>
    <row r="530">
      <c r="D530" s="18"/>
      <c r="E530" s="18"/>
    </row>
    <row r="531">
      <c r="D531" s="18"/>
      <c r="E531" s="18"/>
    </row>
    <row r="532">
      <c r="D532" s="18"/>
      <c r="E532" s="18"/>
    </row>
    <row r="533">
      <c r="D533" s="18"/>
      <c r="E533" s="18"/>
    </row>
    <row r="534">
      <c r="D534" s="18"/>
      <c r="E534" s="18"/>
    </row>
    <row r="535">
      <c r="D535" s="18"/>
      <c r="E535" s="18"/>
    </row>
    <row r="536">
      <c r="D536" s="18"/>
      <c r="E536" s="18"/>
    </row>
    <row r="537">
      <c r="D537" s="18"/>
      <c r="E537" s="18"/>
    </row>
    <row r="538">
      <c r="D538" s="18"/>
      <c r="E538" s="18"/>
    </row>
    <row r="539">
      <c r="D539" s="18"/>
      <c r="E539" s="18"/>
    </row>
    <row r="540">
      <c r="D540" s="18"/>
      <c r="E540" s="18"/>
    </row>
    <row r="541">
      <c r="D541" s="18"/>
      <c r="E541" s="18"/>
    </row>
    <row r="542">
      <c r="D542" s="18"/>
      <c r="E542" s="18"/>
    </row>
    <row r="543">
      <c r="D543" s="18"/>
      <c r="E543" s="18"/>
    </row>
    <row r="544">
      <c r="D544" s="18"/>
      <c r="E544" s="18"/>
    </row>
    <row r="545">
      <c r="D545" s="18"/>
      <c r="E545" s="18"/>
    </row>
    <row r="546">
      <c r="D546" s="18"/>
      <c r="E546" s="18"/>
    </row>
    <row r="547">
      <c r="D547" s="18"/>
      <c r="E547" s="18"/>
    </row>
    <row r="548">
      <c r="D548" s="18"/>
      <c r="E548" s="18"/>
    </row>
    <row r="549">
      <c r="D549" s="18"/>
      <c r="E549" s="18"/>
    </row>
    <row r="550">
      <c r="D550" s="18"/>
      <c r="E550" s="18"/>
    </row>
    <row r="551">
      <c r="D551" s="18"/>
      <c r="E551" s="18"/>
    </row>
    <row r="552">
      <c r="D552" s="18"/>
      <c r="E552" s="18"/>
    </row>
    <row r="553">
      <c r="D553" s="18"/>
      <c r="E553" s="18"/>
    </row>
    <row r="554">
      <c r="D554" s="18"/>
      <c r="E554" s="18"/>
    </row>
    <row r="555">
      <c r="D555" s="18"/>
      <c r="E555" s="18"/>
    </row>
    <row r="556">
      <c r="D556" s="18"/>
      <c r="E556" s="18"/>
    </row>
    <row r="557">
      <c r="D557" s="18"/>
      <c r="E557" s="18"/>
    </row>
    <row r="558">
      <c r="D558" s="18"/>
      <c r="E558" s="18"/>
    </row>
    <row r="559">
      <c r="D559" s="18"/>
      <c r="E559" s="18"/>
    </row>
    <row r="560">
      <c r="D560" s="18"/>
      <c r="E560" s="18"/>
    </row>
    <row r="561">
      <c r="D561" s="18"/>
      <c r="E561" s="18"/>
    </row>
    <row r="562">
      <c r="D562" s="18"/>
      <c r="E562" s="18"/>
    </row>
    <row r="563">
      <c r="D563" s="18"/>
      <c r="E563" s="18"/>
    </row>
    <row r="564">
      <c r="D564" s="18"/>
      <c r="E564" s="18"/>
    </row>
    <row r="565">
      <c r="D565" s="18"/>
      <c r="E565" s="18"/>
    </row>
    <row r="566">
      <c r="D566" s="18"/>
      <c r="E566" s="18"/>
    </row>
    <row r="567">
      <c r="D567" s="18"/>
      <c r="E567" s="18"/>
    </row>
    <row r="568">
      <c r="D568" s="18"/>
      <c r="E568" s="18"/>
    </row>
    <row r="569">
      <c r="D569" s="18"/>
      <c r="E569" s="18"/>
    </row>
    <row r="570">
      <c r="D570" s="18"/>
      <c r="E570" s="18"/>
    </row>
    <row r="571">
      <c r="D571" s="18"/>
      <c r="E571" s="18"/>
    </row>
    <row r="572">
      <c r="D572" s="18"/>
      <c r="E572" s="18"/>
    </row>
    <row r="573">
      <c r="D573" s="18"/>
      <c r="E573" s="18"/>
    </row>
    <row r="574">
      <c r="D574" s="18"/>
      <c r="E574" s="18"/>
    </row>
    <row r="575">
      <c r="D575" s="18"/>
      <c r="E575" s="18"/>
    </row>
    <row r="576">
      <c r="D576" s="18"/>
      <c r="E576" s="18"/>
    </row>
    <row r="577">
      <c r="D577" s="18"/>
      <c r="E577" s="18"/>
    </row>
    <row r="578">
      <c r="D578" s="18"/>
      <c r="E578" s="18"/>
    </row>
    <row r="579">
      <c r="D579" s="18"/>
      <c r="E579" s="18"/>
    </row>
    <row r="580">
      <c r="D580" s="18"/>
      <c r="E580" s="18"/>
    </row>
    <row r="581">
      <c r="D581" s="18"/>
      <c r="E581" s="18"/>
    </row>
    <row r="582">
      <c r="D582" s="18"/>
      <c r="E582" s="18"/>
    </row>
    <row r="583">
      <c r="D583" s="18"/>
      <c r="E583" s="18"/>
    </row>
    <row r="584">
      <c r="D584" s="18"/>
      <c r="E584" s="18"/>
    </row>
    <row r="585">
      <c r="D585" s="18"/>
      <c r="E585" s="18"/>
    </row>
    <row r="586">
      <c r="D586" s="18"/>
      <c r="E586" s="18"/>
    </row>
    <row r="587">
      <c r="D587" s="18"/>
      <c r="E587" s="18"/>
    </row>
    <row r="588">
      <c r="D588" s="18"/>
      <c r="E588" s="18"/>
    </row>
    <row r="589">
      <c r="D589" s="18"/>
      <c r="E589" s="18"/>
    </row>
    <row r="590">
      <c r="D590" s="18"/>
      <c r="E590" s="18"/>
    </row>
    <row r="591">
      <c r="D591" s="18"/>
      <c r="E591" s="18"/>
    </row>
    <row r="592">
      <c r="D592" s="18"/>
      <c r="E592" s="18"/>
    </row>
    <row r="593">
      <c r="D593" s="18"/>
      <c r="E593" s="18"/>
    </row>
    <row r="594">
      <c r="D594" s="18"/>
      <c r="E594" s="18"/>
    </row>
    <row r="595">
      <c r="D595" s="18"/>
      <c r="E595" s="18"/>
    </row>
    <row r="596">
      <c r="D596" s="18"/>
      <c r="E596" s="18"/>
    </row>
    <row r="597">
      <c r="D597" s="18"/>
      <c r="E597" s="18"/>
    </row>
    <row r="598">
      <c r="D598" s="18"/>
      <c r="E598" s="18"/>
    </row>
    <row r="599">
      <c r="D599" s="18"/>
      <c r="E599" s="18"/>
    </row>
    <row r="600">
      <c r="D600" s="18"/>
      <c r="E600" s="18"/>
    </row>
    <row r="601">
      <c r="D601" s="18"/>
      <c r="E601" s="18"/>
    </row>
    <row r="602">
      <c r="D602" s="18"/>
      <c r="E602" s="18"/>
    </row>
    <row r="603">
      <c r="D603" s="18"/>
      <c r="E603" s="18"/>
    </row>
    <row r="604">
      <c r="D604" s="18"/>
      <c r="E604" s="18"/>
    </row>
    <row r="605">
      <c r="D605" s="18"/>
      <c r="E605" s="18"/>
    </row>
    <row r="606">
      <c r="D606" s="18"/>
      <c r="E606" s="18"/>
    </row>
    <row r="607">
      <c r="D607" s="18"/>
      <c r="E607" s="18"/>
    </row>
    <row r="608">
      <c r="D608" s="18"/>
      <c r="E608" s="18"/>
    </row>
    <row r="609">
      <c r="D609" s="18"/>
      <c r="E609" s="18"/>
    </row>
    <row r="610">
      <c r="D610" s="18"/>
      <c r="E610" s="18"/>
    </row>
    <row r="611">
      <c r="D611" s="18"/>
      <c r="E611" s="18"/>
    </row>
    <row r="612">
      <c r="D612" s="18"/>
      <c r="E612" s="18"/>
    </row>
    <row r="613">
      <c r="D613" s="18"/>
      <c r="E613" s="18"/>
    </row>
    <row r="614">
      <c r="D614" s="18"/>
      <c r="E614" s="18"/>
    </row>
    <row r="615">
      <c r="D615" s="18"/>
      <c r="E615" s="18"/>
    </row>
    <row r="616">
      <c r="D616" s="18"/>
      <c r="E616" s="18"/>
    </row>
    <row r="617">
      <c r="D617" s="18"/>
      <c r="E617" s="18"/>
    </row>
    <row r="618">
      <c r="D618" s="18"/>
      <c r="E618" s="18"/>
    </row>
    <row r="619">
      <c r="D619" s="18"/>
      <c r="E619" s="18"/>
    </row>
    <row r="620">
      <c r="D620" s="18"/>
      <c r="E620" s="18"/>
    </row>
    <row r="621">
      <c r="D621" s="18"/>
      <c r="E621" s="18"/>
    </row>
    <row r="622">
      <c r="D622" s="18"/>
      <c r="E622" s="18"/>
    </row>
    <row r="623">
      <c r="D623" s="18"/>
      <c r="E623" s="18"/>
    </row>
    <row r="624">
      <c r="D624" s="18"/>
      <c r="E624" s="18"/>
    </row>
    <row r="625">
      <c r="D625" s="18"/>
      <c r="E625" s="18"/>
    </row>
    <row r="626">
      <c r="D626" s="18"/>
      <c r="E626" s="18"/>
    </row>
    <row r="627">
      <c r="D627" s="18"/>
      <c r="E627" s="18"/>
    </row>
    <row r="628">
      <c r="D628" s="18"/>
      <c r="E628" s="18"/>
    </row>
    <row r="629">
      <c r="D629" s="18"/>
      <c r="E629" s="18"/>
    </row>
    <row r="630">
      <c r="D630" s="18"/>
      <c r="E630" s="18"/>
    </row>
    <row r="631">
      <c r="D631" s="18"/>
      <c r="E631" s="18"/>
    </row>
    <row r="632">
      <c r="D632" s="18"/>
      <c r="E632" s="18"/>
    </row>
    <row r="633">
      <c r="D633" s="18"/>
      <c r="E633" s="18"/>
    </row>
    <row r="634">
      <c r="D634" s="18"/>
      <c r="E634" s="18"/>
    </row>
    <row r="635">
      <c r="D635" s="18"/>
      <c r="E635" s="18"/>
    </row>
    <row r="636">
      <c r="D636" s="18"/>
      <c r="E636" s="18"/>
    </row>
    <row r="637">
      <c r="D637" s="18"/>
      <c r="E637" s="18"/>
    </row>
    <row r="638">
      <c r="D638" s="18"/>
      <c r="E638" s="18"/>
    </row>
    <row r="639">
      <c r="D639" s="18"/>
      <c r="E639" s="18"/>
    </row>
    <row r="640">
      <c r="D640" s="18"/>
      <c r="E640" s="18"/>
    </row>
    <row r="641">
      <c r="D641" s="18"/>
      <c r="E641" s="18"/>
    </row>
    <row r="642">
      <c r="D642" s="18"/>
      <c r="E642" s="18"/>
    </row>
    <row r="643">
      <c r="D643" s="18"/>
      <c r="E643" s="18"/>
    </row>
    <row r="644">
      <c r="D644" s="18"/>
      <c r="E644" s="18"/>
    </row>
    <row r="645">
      <c r="D645" s="18"/>
      <c r="E645" s="18"/>
    </row>
    <row r="646">
      <c r="D646" s="18"/>
      <c r="E646" s="18"/>
    </row>
    <row r="647">
      <c r="D647" s="18"/>
      <c r="E647" s="18"/>
    </row>
    <row r="648">
      <c r="D648" s="18"/>
      <c r="E648" s="18"/>
    </row>
    <row r="649">
      <c r="D649" s="18"/>
      <c r="E649" s="18"/>
    </row>
    <row r="650">
      <c r="D650" s="18"/>
      <c r="E650" s="18"/>
    </row>
    <row r="651">
      <c r="D651" s="18"/>
      <c r="E651" s="18"/>
    </row>
    <row r="652">
      <c r="D652" s="18"/>
      <c r="E652" s="18"/>
    </row>
    <row r="653">
      <c r="D653" s="18"/>
      <c r="E653" s="18"/>
    </row>
    <row r="654">
      <c r="D654" s="18"/>
      <c r="E654" s="18"/>
    </row>
    <row r="655">
      <c r="D655" s="18"/>
      <c r="E655" s="18"/>
    </row>
    <row r="656">
      <c r="D656" s="18"/>
      <c r="E656" s="18"/>
    </row>
    <row r="657">
      <c r="D657" s="18"/>
      <c r="E657" s="18"/>
    </row>
    <row r="658">
      <c r="D658" s="18"/>
      <c r="E658" s="18"/>
    </row>
    <row r="659">
      <c r="D659" s="18"/>
      <c r="E659" s="18"/>
    </row>
    <row r="660">
      <c r="D660" s="18"/>
      <c r="E660" s="18"/>
    </row>
    <row r="661">
      <c r="D661" s="18"/>
      <c r="E661" s="18"/>
    </row>
    <row r="662">
      <c r="D662" s="18"/>
      <c r="E662" s="18"/>
    </row>
    <row r="663">
      <c r="D663" s="18"/>
      <c r="E663" s="18"/>
    </row>
    <row r="664">
      <c r="D664" s="18"/>
      <c r="E664" s="18"/>
    </row>
    <row r="665">
      <c r="D665" s="18"/>
      <c r="E665" s="18"/>
    </row>
    <row r="666">
      <c r="D666" s="18"/>
      <c r="E666" s="18"/>
    </row>
    <row r="667">
      <c r="D667" s="18"/>
      <c r="E667" s="18"/>
    </row>
    <row r="668">
      <c r="D668" s="18"/>
      <c r="E668" s="18"/>
    </row>
    <row r="669">
      <c r="D669" s="18"/>
      <c r="E669" s="18"/>
    </row>
    <row r="670">
      <c r="D670" s="18"/>
      <c r="E670" s="18"/>
    </row>
    <row r="671">
      <c r="D671" s="18"/>
      <c r="E671" s="18"/>
    </row>
    <row r="672">
      <c r="D672" s="18"/>
      <c r="E672" s="18"/>
    </row>
    <row r="673">
      <c r="D673" s="18"/>
      <c r="E673" s="18"/>
    </row>
    <row r="674">
      <c r="D674" s="18"/>
      <c r="E674" s="18"/>
    </row>
    <row r="675">
      <c r="D675" s="18"/>
      <c r="E675" s="18"/>
    </row>
    <row r="676">
      <c r="D676" s="18"/>
      <c r="E676" s="18"/>
    </row>
    <row r="677">
      <c r="D677" s="18"/>
      <c r="E677" s="18"/>
    </row>
    <row r="678">
      <c r="D678" s="18"/>
      <c r="E678" s="18"/>
    </row>
    <row r="679">
      <c r="D679" s="18"/>
      <c r="E679" s="18"/>
    </row>
    <row r="680">
      <c r="D680" s="18"/>
      <c r="E680" s="18"/>
    </row>
    <row r="681">
      <c r="D681" s="18"/>
      <c r="E681" s="18"/>
    </row>
    <row r="682">
      <c r="D682" s="18"/>
      <c r="E682" s="18"/>
    </row>
    <row r="683">
      <c r="D683" s="18"/>
      <c r="E683" s="18"/>
    </row>
    <row r="684">
      <c r="D684" s="18"/>
      <c r="E684" s="18"/>
    </row>
    <row r="685">
      <c r="D685" s="18"/>
      <c r="E685" s="18"/>
    </row>
    <row r="686">
      <c r="D686" s="18"/>
      <c r="E686" s="18"/>
    </row>
    <row r="687">
      <c r="D687" s="18"/>
      <c r="E687" s="18"/>
    </row>
    <row r="688">
      <c r="D688" s="18"/>
      <c r="E688" s="18"/>
    </row>
    <row r="689">
      <c r="D689" s="18"/>
      <c r="E689" s="18"/>
    </row>
    <row r="690">
      <c r="D690" s="18"/>
      <c r="E690" s="18"/>
    </row>
    <row r="691">
      <c r="D691" s="18"/>
      <c r="E691" s="18"/>
    </row>
    <row r="692">
      <c r="D692" s="18"/>
      <c r="E692" s="18"/>
    </row>
    <row r="693">
      <c r="D693" s="18"/>
      <c r="E693" s="18"/>
    </row>
    <row r="694">
      <c r="D694" s="18"/>
      <c r="E694" s="18"/>
    </row>
    <row r="695">
      <c r="D695" s="18"/>
      <c r="E695" s="18"/>
    </row>
    <row r="696">
      <c r="D696" s="18"/>
      <c r="E696" s="18"/>
    </row>
    <row r="697">
      <c r="D697" s="18"/>
      <c r="E697" s="18"/>
    </row>
    <row r="698">
      <c r="D698" s="18"/>
      <c r="E698" s="18"/>
    </row>
    <row r="699">
      <c r="D699" s="18"/>
      <c r="E699" s="18"/>
    </row>
    <row r="700">
      <c r="D700" s="18"/>
      <c r="E700" s="18"/>
    </row>
    <row r="701">
      <c r="D701" s="18"/>
      <c r="E701" s="18"/>
    </row>
    <row r="702">
      <c r="D702" s="18"/>
      <c r="E702" s="18"/>
    </row>
    <row r="703">
      <c r="D703" s="18"/>
      <c r="E703" s="18"/>
    </row>
    <row r="704">
      <c r="D704" s="18"/>
      <c r="E704" s="18"/>
    </row>
    <row r="705">
      <c r="D705" s="18"/>
      <c r="E705" s="18"/>
    </row>
    <row r="706">
      <c r="D706" s="18"/>
      <c r="E706" s="18"/>
    </row>
    <row r="707">
      <c r="D707" s="18"/>
      <c r="E707" s="18"/>
    </row>
    <row r="708">
      <c r="D708" s="18"/>
      <c r="E708" s="18"/>
    </row>
    <row r="709">
      <c r="D709" s="18"/>
      <c r="E709" s="18"/>
    </row>
    <row r="710">
      <c r="D710" s="18"/>
      <c r="E710" s="18"/>
    </row>
    <row r="711">
      <c r="D711" s="18"/>
      <c r="E711" s="18"/>
    </row>
    <row r="712">
      <c r="D712" s="18"/>
      <c r="E712" s="18"/>
    </row>
    <row r="713">
      <c r="D713" s="18"/>
      <c r="E713" s="18"/>
    </row>
    <row r="714">
      <c r="D714" s="18"/>
      <c r="E714" s="18"/>
    </row>
    <row r="715">
      <c r="D715" s="18"/>
      <c r="E715" s="18"/>
    </row>
    <row r="716">
      <c r="D716" s="18"/>
      <c r="E716" s="18"/>
    </row>
    <row r="717">
      <c r="D717" s="18"/>
      <c r="E717" s="18"/>
    </row>
    <row r="718">
      <c r="D718" s="18"/>
      <c r="E718" s="18"/>
    </row>
    <row r="719">
      <c r="D719" s="18"/>
      <c r="E719" s="18"/>
    </row>
    <row r="720">
      <c r="D720" s="18"/>
      <c r="E720" s="18"/>
    </row>
    <row r="721">
      <c r="D721" s="18"/>
      <c r="E721" s="18"/>
    </row>
    <row r="722">
      <c r="D722" s="18"/>
      <c r="E722" s="18"/>
    </row>
    <row r="723">
      <c r="D723" s="18"/>
      <c r="E723" s="18"/>
    </row>
    <row r="724">
      <c r="D724" s="18"/>
      <c r="E724" s="18"/>
    </row>
    <row r="725">
      <c r="D725" s="18"/>
      <c r="E725" s="18"/>
    </row>
    <row r="726">
      <c r="D726" s="18"/>
      <c r="E726" s="18"/>
    </row>
    <row r="727">
      <c r="D727" s="18"/>
      <c r="E727" s="18"/>
    </row>
    <row r="728">
      <c r="D728" s="18"/>
      <c r="E728" s="18"/>
    </row>
    <row r="729">
      <c r="D729" s="18"/>
      <c r="E729" s="18"/>
    </row>
    <row r="730">
      <c r="D730" s="18"/>
      <c r="E730" s="18"/>
    </row>
    <row r="731">
      <c r="D731" s="18"/>
      <c r="E731" s="18"/>
    </row>
    <row r="732">
      <c r="D732" s="18"/>
      <c r="E732" s="18"/>
    </row>
    <row r="733">
      <c r="D733" s="18"/>
      <c r="E733" s="18"/>
    </row>
    <row r="734">
      <c r="D734" s="18"/>
      <c r="E734" s="18"/>
    </row>
    <row r="735">
      <c r="D735" s="18"/>
      <c r="E735" s="18"/>
    </row>
    <row r="736">
      <c r="D736" s="18"/>
      <c r="E736" s="18"/>
    </row>
    <row r="737">
      <c r="D737" s="18"/>
      <c r="E737" s="18"/>
    </row>
    <row r="738">
      <c r="D738" s="18"/>
      <c r="E738" s="18"/>
    </row>
    <row r="739">
      <c r="D739" s="18"/>
      <c r="E739" s="18"/>
    </row>
    <row r="740">
      <c r="D740" s="18"/>
      <c r="E740" s="18"/>
    </row>
    <row r="741">
      <c r="D741" s="18"/>
      <c r="E741" s="18"/>
    </row>
    <row r="742">
      <c r="D742" s="18"/>
      <c r="E742" s="18"/>
    </row>
    <row r="743">
      <c r="D743" s="18"/>
      <c r="E743" s="18"/>
    </row>
    <row r="744">
      <c r="D744" s="18"/>
      <c r="E744" s="18"/>
    </row>
    <row r="745">
      <c r="D745" s="18"/>
      <c r="E745" s="18"/>
    </row>
    <row r="746">
      <c r="D746" s="18"/>
      <c r="E746" s="18"/>
    </row>
    <row r="747">
      <c r="D747" s="18"/>
      <c r="E747" s="18"/>
    </row>
    <row r="748">
      <c r="D748" s="18"/>
      <c r="E748" s="18"/>
    </row>
    <row r="749">
      <c r="D749" s="18"/>
      <c r="E749" s="18"/>
    </row>
    <row r="750">
      <c r="D750" s="18"/>
      <c r="E750" s="18"/>
    </row>
    <row r="751">
      <c r="D751" s="18"/>
      <c r="E751" s="18"/>
    </row>
    <row r="752">
      <c r="D752" s="18"/>
      <c r="E752" s="18"/>
    </row>
    <row r="753">
      <c r="D753" s="18"/>
      <c r="E753" s="18"/>
    </row>
    <row r="754">
      <c r="D754" s="18"/>
      <c r="E754" s="18"/>
    </row>
    <row r="755">
      <c r="D755" s="18"/>
      <c r="E755" s="18"/>
    </row>
    <row r="756">
      <c r="D756" s="18"/>
      <c r="E756" s="18"/>
    </row>
    <row r="757">
      <c r="D757" s="18"/>
      <c r="E757" s="18"/>
    </row>
    <row r="758">
      <c r="D758" s="18"/>
      <c r="E758" s="18"/>
    </row>
    <row r="759">
      <c r="D759" s="18"/>
      <c r="E759" s="18"/>
    </row>
    <row r="760">
      <c r="D760" s="18"/>
      <c r="E760" s="18"/>
    </row>
    <row r="761">
      <c r="D761" s="18"/>
      <c r="E761" s="18"/>
    </row>
    <row r="762">
      <c r="D762" s="18"/>
      <c r="E762" s="18"/>
    </row>
    <row r="763">
      <c r="D763" s="18"/>
      <c r="E763" s="18"/>
    </row>
    <row r="764">
      <c r="D764" s="18"/>
      <c r="E764" s="18"/>
    </row>
    <row r="765">
      <c r="D765" s="18"/>
      <c r="E765" s="18"/>
    </row>
    <row r="766">
      <c r="D766" s="18"/>
      <c r="E766" s="18"/>
    </row>
    <row r="767">
      <c r="D767" s="18"/>
      <c r="E767" s="18"/>
    </row>
    <row r="768">
      <c r="D768" s="18"/>
      <c r="E768" s="18"/>
    </row>
    <row r="769">
      <c r="D769" s="18"/>
      <c r="E769" s="18"/>
    </row>
    <row r="770">
      <c r="D770" s="18"/>
      <c r="E770" s="18"/>
    </row>
    <row r="771">
      <c r="D771" s="18"/>
      <c r="E771" s="18"/>
    </row>
    <row r="772">
      <c r="D772" s="18"/>
      <c r="E772" s="18"/>
    </row>
    <row r="773">
      <c r="D773" s="18"/>
      <c r="E773" s="18"/>
    </row>
    <row r="774">
      <c r="D774" s="18"/>
      <c r="E774" s="18"/>
    </row>
    <row r="775">
      <c r="D775" s="18"/>
      <c r="E775" s="18"/>
    </row>
    <row r="776">
      <c r="D776" s="18"/>
      <c r="E776" s="18"/>
    </row>
    <row r="777">
      <c r="D777" s="18"/>
      <c r="E777" s="18"/>
    </row>
    <row r="778">
      <c r="D778" s="18"/>
      <c r="E778" s="18"/>
    </row>
    <row r="779">
      <c r="D779" s="18"/>
      <c r="E779" s="18"/>
    </row>
    <row r="780">
      <c r="D780" s="18"/>
      <c r="E780" s="18"/>
    </row>
    <row r="781">
      <c r="D781" s="18"/>
      <c r="E781" s="18"/>
    </row>
    <row r="782">
      <c r="D782" s="18"/>
      <c r="E782" s="18"/>
    </row>
    <row r="783">
      <c r="D783" s="18"/>
      <c r="E783" s="18"/>
    </row>
    <row r="784">
      <c r="D784" s="18"/>
      <c r="E784" s="18"/>
    </row>
    <row r="785">
      <c r="D785" s="18"/>
      <c r="E785" s="18"/>
    </row>
    <row r="786">
      <c r="D786" s="18"/>
      <c r="E786" s="18"/>
    </row>
    <row r="787">
      <c r="D787" s="18"/>
      <c r="E787" s="18"/>
    </row>
    <row r="788">
      <c r="D788" s="18"/>
      <c r="E788" s="18"/>
    </row>
    <row r="789">
      <c r="D789" s="18"/>
      <c r="E789" s="18"/>
    </row>
    <row r="790">
      <c r="D790" s="18"/>
      <c r="E790" s="18"/>
    </row>
    <row r="791">
      <c r="D791" s="18"/>
      <c r="E791" s="18"/>
    </row>
    <row r="792">
      <c r="D792" s="18"/>
      <c r="E792" s="18"/>
    </row>
    <row r="793">
      <c r="D793" s="18"/>
      <c r="E793" s="18"/>
    </row>
    <row r="794">
      <c r="D794" s="18"/>
      <c r="E794" s="18"/>
    </row>
    <row r="795">
      <c r="D795" s="18"/>
      <c r="E795" s="18"/>
    </row>
    <row r="796">
      <c r="D796" s="18"/>
      <c r="E796" s="18"/>
    </row>
    <row r="797">
      <c r="D797" s="18"/>
      <c r="E797" s="18"/>
    </row>
    <row r="798">
      <c r="D798" s="18"/>
      <c r="E798" s="18"/>
    </row>
    <row r="799">
      <c r="D799" s="18"/>
      <c r="E799" s="18"/>
    </row>
    <row r="800">
      <c r="D800" s="18"/>
      <c r="E800" s="18"/>
    </row>
    <row r="801">
      <c r="D801" s="18"/>
      <c r="E801" s="18"/>
    </row>
    <row r="802">
      <c r="D802" s="18"/>
      <c r="E802" s="18"/>
    </row>
    <row r="803">
      <c r="D803" s="18"/>
      <c r="E803" s="18"/>
    </row>
    <row r="804">
      <c r="D804" s="18"/>
      <c r="E804" s="18"/>
    </row>
    <row r="805">
      <c r="D805" s="18"/>
      <c r="E805" s="18"/>
    </row>
    <row r="806">
      <c r="D806" s="18"/>
      <c r="E806" s="18"/>
    </row>
    <row r="807">
      <c r="D807" s="18"/>
      <c r="E807" s="18"/>
    </row>
    <row r="808">
      <c r="D808" s="18"/>
      <c r="E808" s="18"/>
    </row>
    <row r="809">
      <c r="D809" s="18"/>
      <c r="E809" s="18"/>
    </row>
    <row r="810">
      <c r="D810" s="18"/>
      <c r="E810" s="18"/>
    </row>
    <row r="811">
      <c r="D811" s="18"/>
      <c r="E811" s="18"/>
    </row>
    <row r="812">
      <c r="D812" s="18"/>
      <c r="E812" s="18"/>
    </row>
    <row r="813">
      <c r="D813" s="18"/>
      <c r="E813" s="18"/>
    </row>
    <row r="814">
      <c r="D814" s="18"/>
      <c r="E814" s="18"/>
    </row>
    <row r="815">
      <c r="D815" s="18"/>
      <c r="E815" s="18"/>
    </row>
    <row r="816">
      <c r="D816" s="18"/>
      <c r="E816" s="18"/>
    </row>
    <row r="817">
      <c r="D817" s="18"/>
      <c r="E817" s="18"/>
    </row>
    <row r="818">
      <c r="D818" s="18"/>
      <c r="E818" s="18"/>
    </row>
    <row r="819">
      <c r="D819" s="18"/>
      <c r="E819" s="18"/>
    </row>
    <row r="820">
      <c r="D820" s="18"/>
      <c r="E820" s="18"/>
    </row>
    <row r="821">
      <c r="D821" s="18"/>
      <c r="E821" s="18"/>
    </row>
    <row r="822">
      <c r="D822" s="18"/>
      <c r="E822" s="18"/>
    </row>
    <row r="823">
      <c r="D823" s="18"/>
      <c r="E823" s="18"/>
    </row>
    <row r="824">
      <c r="D824" s="18"/>
      <c r="E824" s="18"/>
    </row>
    <row r="825">
      <c r="D825" s="18"/>
      <c r="E825" s="18"/>
    </row>
    <row r="826">
      <c r="D826" s="18"/>
      <c r="E826" s="18"/>
    </row>
    <row r="827">
      <c r="D827" s="18"/>
      <c r="E827" s="18"/>
    </row>
    <row r="828">
      <c r="D828" s="18"/>
      <c r="E828" s="18"/>
    </row>
    <row r="829">
      <c r="D829" s="18"/>
      <c r="E829" s="18"/>
    </row>
    <row r="830">
      <c r="D830" s="18"/>
      <c r="E830" s="18"/>
    </row>
    <row r="831">
      <c r="D831" s="18"/>
      <c r="E831" s="18"/>
    </row>
    <row r="832">
      <c r="D832" s="18"/>
      <c r="E832" s="18"/>
    </row>
    <row r="833">
      <c r="D833" s="18"/>
      <c r="E833" s="18"/>
    </row>
    <row r="834">
      <c r="D834" s="18"/>
      <c r="E834" s="18"/>
    </row>
    <row r="835">
      <c r="D835" s="18"/>
      <c r="E835" s="18"/>
    </row>
    <row r="836">
      <c r="D836" s="18"/>
      <c r="E836" s="18"/>
    </row>
    <row r="837">
      <c r="D837" s="18"/>
      <c r="E837" s="18"/>
    </row>
    <row r="838">
      <c r="D838" s="18"/>
      <c r="E838" s="18"/>
    </row>
    <row r="839">
      <c r="D839" s="18"/>
      <c r="E839" s="18"/>
    </row>
    <row r="840">
      <c r="D840" s="18"/>
      <c r="E840" s="18"/>
    </row>
    <row r="841">
      <c r="D841" s="18"/>
      <c r="E841" s="18"/>
    </row>
    <row r="842">
      <c r="D842" s="18"/>
      <c r="E842" s="18"/>
    </row>
    <row r="843">
      <c r="D843" s="18"/>
      <c r="E843" s="18"/>
    </row>
    <row r="844">
      <c r="D844" s="18"/>
      <c r="E844" s="18"/>
    </row>
    <row r="845">
      <c r="D845" s="18"/>
      <c r="E845" s="18"/>
    </row>
    <row r="846">
      <c r="D846" s="18"/>
      <c r="E846" s="18"/>
    </row>
    <row r="847">
      <c r="D847" s="18"/>
      <c r="E847" s="18"/>
    </row>
    <row r="848">
      <c r="D848" s="18"/>
      <c r="E848" s="18"/>
    </row>
    <row r="849">
      <c r="D849" s="18"/>
      <c r="E849" s="18"/>
    </row>
    <row r="850">
      <c r="D850" s="18"/>
      <c r="E850" s="18"/>
    </row>
    <row r="851">
      <c r="D851" s="18"/>
      <c r="E851" s="18"/>
    </row>
    <row r="852">
      <c r="D852" s="18"/>
      <c r="E852" s="18"/>
    </row>
    <row r="853">
      <c r="D853" s="18"/>
      <c r="E853" s="18"/>
    </row>
    <row r="854">
      <c r="D854" s="18"/>
      <c r="E854" s="18"/>
    </row>
    <row r="855">
      <c r="D855" s="18"/>
      <c r="E855" s="18"/>
    </row>
    <row r="856">
      <c r="D856" s="18"/>
      <c r="E856" s="18"/>
    </row>
    <row r="857">
      <c r="D857" s="18"/>
      <c r="E857" s="18"/>
    </row>
    <row r="858">
      <c r="D858" s="18"/>
      <c r="E858" s="18"/>
    </row>
    <row r="859">
      <c r="D859" s="18"/>
      <c r="E859" s="18"/>
    </row>
    <row r="860">
      <c r="D860" s="18"/>
      <c r="E860" s="18"/>
    </row>
    <row r="861">
      <c r="D861" s="18"/>
      <c r="E861" s="18"/>
    </row>
    <row r="862">
      <c r="D862" s="18"/>
      <c r="E862" s="18"/>
    </row>
    <row r="863">
      <c r="D863" s="18"/>
      <c r="E863" s="18"/>
    </row>
    <row r="864">
      <c r="D864" s="18"/>
      <c r="E864" s="18"/>
    </row>
    <row r="865">
      <c r="D865" s="18"/>
      <c r="E865" s="18"/>
    </row>
    <row r="866">
      <c r="D866" s="18"/>
      <c r="E866" s="18"/>
    </row>
    <row r="867">
      <c r="D867" s="18"/>
      <c r="E867" s="18"/>
    </row>
    <row r="868">
      <c r="D868" s="18"/>
      <c r="E868" s="18"/>
    </row>
    <row r="869">
      <c r="D869" s="18"/>
      <c r="E869" s="18"/>
    </row>
    <row r="870">
      <c r="D870" s="18"/>
      <c r="E870" s="18"/>
    </row>
    <row r="871">
      <c r="D871" s="18"/>
      <c r="E871" s="18"/>
    </row>
    <row r="872">
      <c r="D872" s="18"/>
      <c r="E872" s="18"/>
    </row>
    <row r="873">
      <c r="D873" s="18"/>
      <c r="E873" s="18"/>
    </row>
    <row r="874">
      <c r="D874" s="18"/>
      <c r="E874" s="18"/>
    </row>
    <row r="875">
      <c r="D875" s="18"/>
      <c r="E875" s="18"/>
    </row>
    <row r="876">
      <c r="D876" s="18"/>
      <c r="E876" s="18"/>
    </row>
    <row r="877">
      <c r="D877" s="18"/>
      <c r="E877" s="18"/>
    </row>
    <row r="878">
      <c r="D878" s="18"/>
      <c r="E878" s="18"/>
    </row>
    <row r="879">
      <c r="D879" s="18"/>
      <c r="E879" s="18"/>
    </row>
    <row r="880">
      <c r="D880" s="18"/>
      <c r="E880" s="18"/>
    </row>
    <row r="881">
      <c r="D881" s="18"/>
      <c r="E881" s="18"/>
    </row>
    <row r="882">
      <c r="D882" s="18"/>
      <c r="E882" s="18"/>
    </row>
    <row r="883">
      <c r="D883" s="18"/>
      <c r="E883" s="18"/>
    </row>
    <row r="884">
      <c r="D884" s="18"/>
      <c r="E884" s="18"/>
    </row>
    <row r="885">
      <c r="D885" s="18"/>
      <c r="E885" s="18"/>
    </row>
    <row r="886">
      <c r="D886" s="18"/>
      <c r="E886" s="18"/>
    </row>
    <row r="887">
      <c r="D887" s="18"/>
      <c r="E887" s="18"/>
    </row>
    <row r="888">
      <c r="D888" s="18"/>
      <c r="E888" s="18"/>
    </row>
    <row r="889">
      <c r="D889" s="18"/>
      <c r="E889" s="18"/>
    </row>
    <row r="890">
      <c r="D890" s="18"/>
      <c r="E890" s="18"/>
    </row>
    <row r="891">
      <c r="D891" s="18"/>
      <c r="E891" s="18"/>
    </row>
    <row r="892">
      <c r="D892" s="18"/>
      <c r="E892" s="18"/>
    </row>
    <row r="893">
      <c r="D893" s="18"/>
      <c r="E893" s="18"/>
    </row>
    <row r="894">
      <c r="D894" s="18"/>
      <c r="E894" s="18"/>
    </row>
    <row r="895">
      <c r="D895" s="18"/>
      <c r="E895" s="18"/>
    </row>
    <row r="896">
      <c r="D896" s="18"/>
      <c r="E896" s="18"/>
    </row>
    <row r="897">
      <c r="D897" s="18"/>
      <c r="E897" s="18"/>
    </row>
    <row r="898">
      <c r="D898" s="18"/>
      <c r="E898" s="18"/>
    </row>
    <row r="899">
      <c r="D899" s="18"/>
      <c r="E899" s="18"/>
    </row>
    <row r="900">
      <c r="D900" s="18"/>
      <c r="E900" s="18"/>
    </row>
    <row r="901">
      <c r="D901" s="18"/>
      <c r="E901" s="18"/>
    </row>
    <row r="902">
      <c r="D902" s="18"/>
      <c r="E902" s="18"/>
    </row>
    <row r="903">
      <c r="D903" s="18"/>
      <c r="E903" s="18"/>
    </row>
    <row r="904">
      <c r="D904" s="18"/>
      <c r="E904" s="18"/>
    </row>
    <row r="905">
      <c r="D905" s="18"/>
      <c r="E905" s="18"/>
    </row>
    <row r="906">
      <c r="D906" s="18"/>
      <c r="E906" s="18"/>
    </row>
    <row r="907">
      <c r="D907" s="18"/>
      <c r="E907" s="18"/>
    </row>
    <row r="908">
      <c r="D908" s="18"/>
      <c r="E908" s="18"/>
    </row>
    <row r="909">
      <c r="D909" s="18"/>
      <c r="E909" s="18"/>
    </row>
    <row r="910">
      <c r="D910" s="18"/>
      <c r="E910" s="18"/>
    </row>
    <row r="911">
      <c r="D911" s="18"/>
      <c r="E911" s="18"/>
    </row>
    <row r="912">
      <c r="D912" s="18"/>
      <c r="E912" s="18"/>
    </row>
    <row r="913">
      <c r="D913" s="18"/>
      <c r="E913" s="18"/>
    </row>
    <row r="914">
      <c r="D914" s="18"/>
      <c r="E914" s="18"/>
    </row>
    <row r="915">
      <c r="D915" s="18"/>
      <c r="E915" s="18"/>
    </row>
    <row r="916">
      <c r="D916" s="18"/>
      <c r="E916" s="18"/>
    </row>
    <row r="917">
      <c r="D917" s="18"/>
      <c r="E917" s="18"/>
    </row>
    <row r="918">
      <c r="D918" s="18"/>
      <c r="E918" s="18"/>
    </row>
    <row r="919">
      <c r="D919" s="18"/>
      <c r="E919" s="18"/>
    </row>
    <row r="920">
      <c r="D920" s="18"/>
      <c r="E920" s="18"/>
    </row>
    <row r="921">
      <c r="D921" s="18"/>
      <c r="E921" s="18"/>
    </row>
    <row r="922">
      <c r="D922" s="18"/>
      <c r="E922" s="18"/>
    </row>
    <row r="923">
      <c r="D923" s="18"/>
      <c r="E923" s="18"/>
    </row>
    <row r="924">
      <c r="D924" s="18"/>
      <c r="E924" s="18"/>
    </row>
    <row r="925">
      <c r="D925" s="18"/>
      <c r="E925" s="18"/>
    </row>
    <row r="926">
      <c r="D926" s="18"/>
      <c r="E926" s="18"/>
    </row>
    <row r="927">
      <c r="D927" s="18"/>
      <c r="E927" s="18"/>
    </row>
    <row r="928">
      <c r="D928" s="18"/>
      <c r="E928" s="18"/>
    </row>
    <row r="929">
      <c r="D929" s="18"/>
      <c r="E929" s="18"/>
    </row>
    <row r="930">
      <c r="D930" s="18"/>
      <c r="E930" s="18"/>
    </row>
    <row r="931">
      <c r="D931" s="18"/>
      <c r="E931" s="18"/>
    </row>
    <row r="932">
      <c r="D932" s="18"/>
      <c r="E932" s="18"/>
    </row>
    <row r="933">
      <c r="D933" s="18"/>
      <c r="E933" s="18"/>
    </row>
    <row r="934">
      <c r="D934" s="18"/>
      <c r="E934" s="18"/>
    </row>
    <row r="935">
      <c r="D935" s="18"/>
      <c r="E935" s="18"/>
    </row>
    <row r="936">
      <c r="D936" s="18"/>
      <c r="E936" s="18"/>
    </row>
    <row r="937">
      <c r="D937" s="18"/>
      <c r="E937" s="18"/>
    </row>
    <row r="938">
      <c r="D938" s="18"/>
      <c r="E938" s="18"/>
    </row>
    <row r="939">
      <c r="D939" s="18"/>
      <c r="E939" s="18"/>
    </row>
    <row r="940">
      <c r="D940" s="18"/>
      <c r="E940" s="18"/>
    </row>
    <row r="941">
      <c r="D941" s="18"/>
      <c r="E941" s="18"/>
    </row>
    <row r="942">
      <c r="D942" s="18"/>
      <c r="E942" s="18"/>
    </row>
    <row r="943">
      <c r="D943" s="18"/>
      <c r="E943" s="18"/>
    </row>
    <row r="944">
      <c r="D944" s="18"/>
      <c r="E944" s="18"/>
    </row>
    <row r="945">
      <c r="D945" s="18"/>
      <c r="E945" s="18"/>
    </row>
    <row r="946">
      <c r="D946" s="18"/>
      <c r="E946" s="18"/>
    </row>
    <row r="947">
      <c r="D947" s="18"/>
      <c r="E947" s="18"/>
    </row>
    <row r="948">
      <c r="D948" s="18"/>
      <c r="E948" s="18"/>
    </row>
    <row r="949">
      <c r="D949" s="18"/>
      <c r="E949" s="18"/>
    </row>
    <row r="950">
      <c r="D950" s="18"/>
      <c r="E950" s="18"/>
    </row>
    <row r="951">
      <c r="D951" s="18"/>
      <c r="E951" s="18"/>
    </row>
    <row r="952">
      <c r="D952" s="18"/>
      <c r="E952" s="18"/>
    </row>
    <row r="953">
      <c r="D953" s="18"/>
      <c r="E953" s="18"/>
    </row>
    <row r="954">
      <c r="D954" s="18"/>
      <c r="E954" s="18"/>
    </row>
    <row r="955">
      <c r="D955" s="18"/>
      <c r="E955" s="18"/>
    </row>
    <row r="956">
      <c r="D956" s="18"/>
      <c r="E956" s="18"/>
    </row>
    <row r="957">
      <c r="D957" s="18"/>
      <c r="E957" s="18"/>
    </row>
    <row r="958">
      <c r="D958" s="18"/>
      <c r="E958" s="18"/>
    </row>
    <row r="959">
      <c r="D959" s="18"/>
      <c r="E959" s="18"/>
    </row>
    <row r="960">
      <c r="D960" s="18"/>
      <c r="E960" s="18"/>
    </row>
    <row r="961">
      <c r="D961" s="18"/>
      <c r="E961" s="18"/>
    </row>
    <row r="962">
      <c r="D962" s="18"/>
      <c r="E962" s="18"/>
    </row>
    <row r="963">
      <c r="D963" s="18"/>
      <c r="E963" s="18"/>
    </row>
    <row r="964">
      <c r="D964" s="18"/>
      <c r="E964" s="18"/>
    </row>
    <row r="965">
      <c r="D965" s="18"/>
      <c r="E965" s="18"/>
    </row>
    <row r="966">
      <c r="D966" s="18"/>
      <c r="E966" s="18"/>
    </row>
    <row r="967">
      <c r="D967" s="18"/>
      <c r="E967" s="18"/>
    </row>
    <row r="968">
      <c r="D968" s="18"/>
      <c r="E968" s="18"/>
    </row>
    <row r="969">
      <c r="D969" s="18"/>
      <c r="E969" s="18"/>
    </row>
    <row r="970">
      <c r="D970" s="18"/>
      <c r="E970" s="18"/>
    </row>
    <row r="971">
      <c r="D971" s="18"/>
      <c r="E971" s="18"/>
    </row>
    <row r="972">
      <c r="D972" s="18"/>
      <c r="E972" s="18"/>
    </row>
    <row r="973">
      <c r="D973" s="18"/>
      <c r="E973" s="18"/>
    </row>
    <row r="974">
      <c r="D974" s="18"/>
      <c r="E974" s="18"/>
    </row>
    <row r="975">
      <c r="D975" s="18"/>
      <c r="E975" s="18"/>
    </row>
    <row r="976">
      <c r="D976" s="18"/>
      <c r="E976" s="18"/>
    </row>
    <row r="977">
      <c r="D977" s="18"/>
      <c r="E977" s="18"/>
    </row>
    <row r="978">
      <c r="D978" s="18"/>
      <c r="E978" s="18"/>
    </row>
    <row r="979">
      <c r="D979" s="18"/>
      <c r="E979" s="18"/>
    </row>
    <row r="980">
      <c r="D980" s="18"/>
      <c r="E980" s="18"/>
    </row>
    <row r="981">
      <c r="D981" s="18"/>
      <c r="E981" s="18"/>
    </row>
    <row r="982">
      <c r="D982" s="18"/>
      <c r="E982" s="18"/>
    </row>
    <row r="983">
      <c r="D983" s="18"/>
      <c r="E983" s="18"/>
    </row>
    <row r="984">
      <c r="D984" s="18"/>
      <c r="E984" s="18"/>
    </row>
    <row r="985">
      <c r="D985" s="18"/>
      <c r="E985" s="18"/>
    </row>
    <row r="986">
      <c r="D986" s="18"/>
      <c r="E986" s="18"/>
    </row>
    <row r="987">
      <c r="D987" s="18"/>
      <c r="E987" s="18"/>
    </row>
    <row r="988">
      <c r="D988" s="18"/>
      <c r="E988" s="18"/>
    </row>
    <row r="989">
      <c r="D989" s="18"/>
      <c r="E989" s="18"/>
    </row>
    <row r="990">
      <c r="D990" s="18"/>
      <c r="E990" s="18"/>
    </row>
    <row r="991">
      <c r="D991" s="18"/>
      <c r="E991" s="18"/>
    </row>
    <row r="992">
      <c r="D992" s="18"/>
      <c r="E992" s="18"/>
    </row>
    <row r="993">
      <c r="D993" s="18"/>
      <c r="E993" s="18"/>
    </row>
    <row r="994">
      <c r="D994" s="18"/>
      <c r="E994" s="18"/>
    </row>
    <row r="995">
      <c r="D995" s="18"/>
      <c r="E995" s="18"/>
    </row>
    <row r="996">
      <c r="D996" s="18"/>
      <c r="E996" s="18"/>
    </row>
    <row r="997">
      <c r="D997" s="18"/>
      <c r="E997" s="18"/>
    </row>
    <row r="998">
      <c r="D998" s="18"/>
      <c r="E998" s="18"/>
    </row>
    <row r="999">
      <c r="D999" s="18"/>
      <c r="E999" s="18"/>
    </row>
    <row r="1000">
      <c r="D1000" s="18"/>
      <c r="E1000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6.0"/>
    <col customWidth="1" min="3" max="3" width="6.13"/>
    <col customWidth="1" min="4" max="4" width="28.5"/>
    <col customWidth="1" min="5" max="5" width="35.38"/>
    <col customWidth="1" min="6" max="6" width="14.63"/>
    <col customWidth="1" min="7" max="7" width="23.75"/>
    <col customWidth="1" min="8" max="8" width="25.13"/>
    <col customWidth="1" min="9" max="9" width="32.63"/>
    <col customWidth="1" min="10" max="10" width="40.13"/>
    <col customWidth="1" min="11" max="11" width="22.25"/>
    <col customWidth="1" min="12" max="12" width="18.63"/>
    <col customWidth="1" min="13" max="13" width="39.0"/>
    <col customWidth="1" min="14" max="14" width="16.75"/>
    <col customWidth="1" min="15" max="15" width="8.63"/>
    <col customWidth="1" min="16" max="16" width="9.75"/>
    <col customWidth="1" min="17" max="17" width="9.25"/>
    <col customWidth="1" min="18" max="18" width="8.38"/>
    <col customWidth="1" min="19" max="19" width="8.63"/>
    <col customWidth="1" min="20" max="20" width="9.13"/>
    <col customWidth="1" min="21" max="21" width="7.13"/>
    <col customWidth="1" min="22" max="22" width="14.0"/>
    <col customWidth="1" min="23" max="23" width="11.5"/>
    <col customWidth="1" min="24" max="24" width="10.5"/>
    <col customWidth="1" min="25" max="25" width="7.75"/>
  </cols>
  <sheetData>
    <row r="1">
      <c r="A1" s="26" t="s">
        <v>151</v>
      </c>
      <c r="B1" s="26" t="s">
        <v>152</v>
      </c>
      <c r="C1" s="26" t="s">
        <v>34</v>
      </c>
      <c r="D1" s="26" t="s">
        <v>341</v>
      </c>
      <c r="E1" s="26" t="s">
        <v>343</v>
      </c>
      <c r="F1" s="26" t="s">
        <v>345</v>
      </c>
      <c r="G1" s="26" t="s">
        <v>347</v>
      </c>
      <c r="H1" s="27" t="s">
        <v>348</v>
      </c>
      <c r="I1" s="27" t="s">
        <v>349</v>
      </c>
      <c r="J1" s="27" t="s">
        <v>350</v>
      </c>
      <c r="K1" s="26" t="s">
        <v>351</v>
      </c>
      <c r="L1" s="26" t="s">
        <v>352</v>
      </c>
      <c r="M1" s="26" t="s">
        <v>19</v>
      </c>
      <c r="N1" s="26" t="s">
        <v>354</v>
      </c>
      <c r="O1" s="26" t="s">
        <v>356</v>
      </c>
      <c r="P1" s="26" t="s">
        <v>359</v>
      </c>
      <c r="Q1" s="26" t="s">
        <v>361</v>
      </c>
      <c r="R1" s="26" t="s">
        <v>362</v>
      </c>
      <c r="S1" s="26" t="s">
        <v>30</v>
      </c>
      <c r="T1" s="26" t="s">
        <v>24</v>
      </c>
      <c r="U1" s="26" t="s">
        <v>38</v>
      </c>
      <c r="V1" s="26" t="s">
        <v>363</v>
      </c>
      <c r="W1" s="26" t="s">
        <v>365</v>
      </c>
      <c r="X1" s="26" t="s">
        <v>367</v>
      </c>
      <c r="Y1" s="26" t="s">
        <v>369</v>
      </c>
    </row>
    <row r="2" ht="88.5" customHeight="1">
      <c r="A2" s="17" t="s">
        <v>257</v>
      </c>
      <c r="B2" s="17" t="s">
        <v>85</v>
      </c>
      <c r="C2" s="17" t="s">
        <v>42</v>
      </c>
      <c r="D2" s="17" t="s">
        <v>373</v>
      </c>
      <c r="E2" s="17" t="s">
        <v>373</v>
      </c>
      <c r="F2" s="17" t="s">
        <v>375</v>
      </c>
      <c r="G2" s="17" t="s">
        <v>256</v>
      </c>
      <c r="H2" s="28" t="s">
        <v>378</v>
      </c>
      <c r="I2" s="28" t="s">
        <v>383</v>
      </c>
      <c r="J2" s="28" t="s">
        <v>385</v>
      </c>
      <c r="K2" s="17" t="s">
        <v>256</v>
      </c>
      <c r="L2" s="17" t="s">
        <v>18</v>
      </c>
      <c r="M2" s="17" t="s">
        <v>81</v>
      </c>
      <c r="N2" s="17" t="s">
        <v>13</v>
      </c>
      <c r="O2" s="17" t="s">
        <v>49</v>
      </c>
      <c r="P2" s="18" t="str">
        <f>VLOOKUP(O2,'Danh mục'!$A$3:$D$12,2,FALSE)</f>
        <v>#N/A</v>
      </c>
      <c r="Q2" s="18" t="str">
        <f>VLOOKUP(O2,'Danh mục'!$A$3:$D$12,3,FALSE)</f>
        <v>#N/A</v>
      </c>
      <c r="R2" s="18"/>
      <c r="S2" s="17" t="s">
        <v>78</v>
      </c>
      <c r="T2" s="17" t="s">
        <v>105</v>
      </c>
      <c r="U2" s="17" t="s">
        <v>76</v>
      </c>
      <c r="V2" s="17" t="s">
        <v>251</v>
      </c>
      <c r="W2" s="29" t="s">
        <v>399</v>
      </c>
      <c r="X2" s="30"/>
      <c r="Y2" s="18" t="str">
        <f>IF(AND(TODAY()&gt;Q2,T2&lt;&gt;"Done"),"TRỄ",IF(AND(C2="G4",VLOOKUP(B2,DoR!$A$2:$K$12,11,FALSE)&lt;&gt;"SẴN SÀNG PROMPT"),"THIẾU ĐẦU VÀO",""))</f>
        <v>#N/A</v>
      </c>
    </row>
    <row r="3">
      <c r="A3" s="17" t="s">
        <v>246</v>
      </c>
      <c r="B3" s="17" t="s">
        <v>98</v>
      </c>
      <c r="C3" s="17" t="s">
        <v>42</v>
      </c>
      <c r="D3" s="17" t="s">
        <v>242</v>
      </c>
      <c r="E3" s="17" t="s">
        <v>242</v>
      </c>
      <c r="F3" s="17" t="s">
        <v>375</v>
      </c>
      <c r="G3" s="17" t="s">
        <v>243</v>
      </c>
      <c r="H3" s="28" t="s">
        <v>430</v>
      </c>
      <c r="I3" s="28"/>
      <c r="J3" s="28"/>
      <c r="K3" s="17" t="s">
        <v>243</v>
      </c>
      <c r="L3" s="17" t="s">
        <v>33</v>
      </c>
      <c r="M3" s="17" t="s">
        <v>111</v>
      </c>
      <c r="N3" s="17" t="s">
        <v>13</v>
      </c>
      <c r="O3" s="17" t="s">
        <v>49</v>
      </c>
      <c r="P3" s="18" t="str">
        <f>VLOOKUP(O3,'Danh mục'!$A$3:$D$12,2,FALSE)</f>
        <v>#N/A</v>
      </c>
      <c r="Q3" s="18" t="str">
        <f>VLOOKUP(O3,'Danh mục'!$A$3:$D$12,3,FALSE)</f>
        <v>#N/A</v>
      </c>
      <c r="R3" s="18"/>
      <c r="S3" s="17" t="s">
        <v>83</v>
      </c>
      <c r="T3" s="17" t="s">
        <v>82</v>
      </c>
      <c r="U3" s="31">
        <v>46058.0</v>
      </c>
      <c r="V3" s="17" t="s">
        <v>240</v>
      </c>
      <c r="W3" s="18"/>
      <c r="X3" s="17" t="s">
        <v>456</v>
      </c>
      <c r="Y3" s="18" t="str">
        <f>IF(AND(TODAY()&gt;Q3,T3&lt;&gt;"Done"),"TRỄ",IF(AND(C3="G4",VLOOKUP(B3,DoR!$A$2:$K$12,11,FALSE)&lt;&gt;"SẴN SÀNG PROMPT"),"THIẾU ĐẦU VÀO",""))</f>
        <v>#N/A</v>
      </c>
    </row>
    <row r="4">
      <c r="A4" s="17" t="s">
        <v>322</v>
      </c>
      <c r="B4" s="17" t="s">
        <v>47</v>
      </c>
      <c r="C4" s="17" t="s">
        <v>44</v>
      </c>
      <c r="D4" s="17" t="s">
        <v>462</v>
      </c>
      <c r="E4" s="17" t="s">
        <v>463</v>
      </c>
      <c r="F4" s="17" t="s">
        <v>375</v>
      </c>
      <c r="G4" s="17" t="s">
        <v>465</v>
      </c>
      <c r="H4" s="28" t="s">
        <v>467</v>
      </c>
      <c r="I4" s="28" t="s">
        <v>469</v>
      </c>
      <c r="J4" s="28" t="s">
        <v>471</v>
      </c>
      <c r="K4" s="17" t="s">
        <v>473</v>
      </c>
      <c r="L4" s="17" t="s">
        <v>21</v>
      </c>
      <c r="M4" s="17" t="s">
        <v>88</v>
      </c>
      <c r="N4" s="17" t="s">
        <v>13</v>
      </c>
      <c r="O4" s="17" t="s">
        <v>73</v>
      </c>
      <c r="P4" s="32">
        <f>VLOOKUP(O4,'Danh mục'!$A$3:$D$12,2,FALSE)</f>
        <v>46293</v>
      </c>
      <c r="Q4" s="32">
        <f>VLOOKUP(O4,'Danh mục'!$A$3:$D$12,3,FALSE)</f>
        <v>46299</v>
      </c>
      <c r="R4" s="18"/>
      <c r="S4" s="17" t="s">
        <v>78</v>
      </c>
      <c r="T4" s="17" t="s">
        <v>77</v>
      </c>
      <c r="U4" s="17" t="s">
        <v>76</v>
      </c>
      <c r="V4" s="17" t="s">
        <v>484</v>
      </c>
      <c r="W4" s="18"/>
      <c r="X4" s="18"/>
      <c r="Y4" s="18" t="str">
        <f>IF(AND(TODAY()&gt;Q4,T4&lt;&gt;"Done"),"TRỄ",IF(AND(C4="G4",VLOOKUP(B4,DoR!$A$2:$K$12,11,FALSE)&lt;&gt;"SẴN SÀNG PROMPT"),"THIẾU ĐẦU VÀO",""))</f>
        <v>TRỄ</v>
      </c>
    </row>
    <row r="5">
      <c r="A5" s="17" t="s">
        <v>300</v>
      </c>
      <c r="B5" s="17" t="s">
        <v>47</v>
      </c>
      <c r="C5" s="17" t="s">
        <v>48</v>
      </c>
      <c r="D5" s="17" t="s">
        <v>298</v>
      </c>
      <c r="E5" s="17" t="s">
        <v>298</v>
      </c>
      <c r="F5" s="17" t="s">
        <v>375</v>
      </c>
      <c r="G5" s="17" t="s">
        <v>299</v>
      </c>
      <c r="H5" s="28" t="s">
        <v>495</v>
      </c>
      <c r="I5" s="28" t="s">
        <v>496</v>
      </c>
      <c r="J5" s="28" t="s">
        <v>497</v>
      </c>
      <c r="K5" s="17" t="s">
        <v>299</v>
      </c>
      <c r="L5" s="17" t="s">
        <v>26</v>
      </c>
      <c r="M5" s="17" t="s">
        <v>96</v>
      </c>
      <c r="N5" s="17" t="s">
        <v>13</v>
      </c>
      <c r="O5" s="17" t="s">
        <v>73</v>
      </c>
      <c r="P5" s="32">
        <f>VLOOKUP(O5,'Danh mục'!$A$3:$D$12,2,FALSE)</f>
        <v>46293</v>
      </c>
      <c r="Q5" s="32">
        <f>VLOOKUP(O5,'Danh mục'!$A$3:$D$12,3,FALSE)</f>
        <v>46299</v>
      </c>
      <c r="R5" s="18"/>
      <c r="S5" s="17" t="s">
        <v>78</v>
      </c>
      <c r="T5" s="17" t="s">
        <v>77</v>
      </c>
      <c r="U5" s="17" t="s">
        <v>76</v>
      </c>
      <c r="V5" s="17" t="s">
        <v>297</v>
      </c>
      <c r="W5" s="18"/>
      <c r="X5" s="18"/>
      <c r="Y5" s="18" t="str">
        <f>IF(AND(TODAY()&gt;Q5,T5&lt;&gt;"Done"),"TRỄ",IF(AND(C5="G4",VLOOKUP(B5,DoR!$A$2:$K$12,11,FALSE)&lt;&gt;"SẴN SÀNG PROMPT"),"THIẾU ĐẦU VÀO",""))</f>
        <v>TRỄ</v>
      </c>
    </row>
    <row r="6">
      <c r="A6" s="17" t="s">
        <v>316</v>
      </c>
      <c r="B6" s="17" t="s">
        <v>85</v>
      </c>
      <c r="C6" s="17" t="s">
        <v>44</v>
      </c>
      <c r="D6" s="17" t="s">
        <v>314</v>
      </c>
      <c r="E6" s="17" t="s">
        <v>314</v>
      </c>
      <c r="F6" s="17" t="s">
        <v>375</v>
      </c>
      <c r="G6" s="17" t="s">
        <v>315</v>
      </c>
      <c r="H6" s="28" t="s">
        <v>378</v>
      </c>
      <c r="I6" s="28" t="s">
        <v>383</v>
      </c>
      <c r="J6" s="28" t="s">
        <v>385</v>
      </c>
      <c r="K6" s="17" t="s">
        <v>315</v>
      </c>
      <c r="L6" s="17" t="s">
        <v>18</v>
      </c>
      <c r="M6" s="17" t="s">
        <v>81</v>
      </c>
      <c r="N6" s="17" t="s">
        <v>13</v>
      </c>
      <c r="O6" s="17" t="s">
        <v>73</v>
      </c>
      <c r="P6" s="32">
        <f>VLOOKUP(O6,'Danh mục'!$A$3:$D$12,2,FALSE)</f>
        <v>46293</v>
      </c>
      <c r="Q6" s="32">
        <f>VLOOKUP(O6,'Danh mục'!$A$3:$D$12,3,FALSE)</f>
        <v>46299</v>
      </c>
      <c r="R6" s="18"/>
      <c r="S6" s="17" t="s">
        <v>78</v>
      </c>
      <c r="T6" s="17" t="s">
        <v>82</v>
      </c>
      <c r="U6" s="17" t="s">
        <v>76</v>
      </c>
      <c r="V6" s="17" t="s">
        <v>313</v>
      </c>
      <c r="W6" s="18"/>
      <c r="X6" s="18"/>
      <c r="Y6" s="18" t="str">
        <f>IF(AND(TODAY()&gt;Q6,T6&lt;&gt;"Done"),"TRỄ",IF(AND(C6="G4",VLOOKUP(B6,DoR!$A$2:$K$12,11,FALSE)&lt;&gt;"SẴN SÀNG PROMPT"),"THIẾU ĐẦU VÀO",""))</f>
        <v>TRỄ</v>
      </c>
    </row>
    <row r="7">
      <c r="A7" s="17" t="s">
        <v>535</v>
      </c>
      <c r="B7" s="17" t="s">
        <v>93</v>
      </c>
      <c r="C7" s="17" t="s">
        <v>42</v>
      </c>
      <c r="D7" s="17" t="s">
        <v>539</v>
      </c>
      <c r="E7" s="17" t="s">
        <v>541</v>
      </c>
      <c r="F7" s="17" t="s">
        <v>542</v>
      </c>
      <c r="G7" s="17" t="s">
        <v>543</v>
      </c>
      <c r="H7" s="28" t="s">
        <v>467</v>
      </c>
      <c r="I7" s="28"/>
      <c r="J7" s="28"/>
      <c r="K7" s="17" t="s">
        <v>544</v>
      </c>
      <c r="L7" s="17" t="s">
        <v>21</v>
      </c>
      <c r="M7" s="17" t="s">
        <v>88</v>
      </c>
      <c r="N7" s="17" t="s">
        <v>9</v>
      </c>
      <c r="O7" s="17" t="s">
        <v>73</v>
      </c>
      <c r="P7" s="32">
        <f>VLOOKUP(O7,'Danh mục'!$A$3:$D$12,2,FALSE)</f>
        <v>46293</v>
      </c>
      <c r="Q7" s="32">
        <f>VLOOKUP(O7,'Danh mục'!$A$3:$D$12,3,FALSE)</f>
        <v>46299</v>
      </c>
      <c r="R7" s="17" t="s">
        <v>265</v>
      </c>
      <c r="S7" s="17" t="s">
        <v>78</v>
      </c>
      <c r="T7" s="17" t="s">
        <v>77</v>
      </c>
      <c r="U7" s="17" t="s">
        <v>76</v>
      </c>
      <c r="V7" s="18"/>
      <c r="W7" s="18"/>
      <c r="X7" s="18"/>
      <c r="Y7" s="18" t="str">
        <f>IF(AND(TODAY()&gt;Q7,T7&lt;&gt;"Done"),"TRỄ",IF(AND(C7="G4",VLOOKUP(B7,DoR!$A$2:$K$12,11,FALSE)&lt;&gt;"SẴN SÀNG PROMPT"),"THIẾU ĐẦU VÀO",""))</f>
        <v>TRỄ</v>
      </c>
    </row>
    <row r="8">
      <c r="A8" s="17" t="s">
        <v>307</v>
      </c>
      <c r="B8" s="17" t="s">
        <v>98</v>
      </c>
      <c r="C8" s="17" t="s">
        <v>48</v>
      </c>
      <c r="D8" s="17" t="s">
        <v>304</v>
      </c>
      <c r="E8" s="17" t="s">
        <v>304</v>
      </c>
      <c r="F8" s="17" t="s">
        <v>375</v>
      </c>
      <c r="G8" s="17" t="s">
        <v>305</v>
      </c>
      <c r="H8" s="28" t="s">
        <v>430</v>
      </c>
      <c r="I8" s="28" t="s">
        <v>496</v>
      </c>
      <c r="J8" s="28" t="s">
        <v>565</v>
      </c>
      <c r="K8" s="17" t="s">
        <v>305</v>
      </c>
      <c r="L8" s="17" t="s">
        <v>33</v>
      </c>
      <c r="M8" s="17" t="s">
        <v>111</v>
      </c>
      <c r="N8" s="17" t="s">
        <v>13</v>
      </c>
      <c r="O8" s="17" t="s">
        <v>73</v>
      </c>
      <c r="P8" s="32">
        <f>VLOOKUP(O8,'Danh mục'!$A$3:$D$12,2,FALSE)</f>
        <v>46293</v>
      </c>
      <c r="Q8" s="32">
        <f>VLOOKUP(O8,'Danh mục'!$A$3:$D$12,3,FALSE)</f>
        <v>46299</v>
      </c>
      <c r="R8" s="18"/>
      <c r="S8" s="17" t="s">
        <v>78</v>
      </c>
      <c r="T8" s="17" t="s">
        <v>77</v>
      </c>
      <c r="U8" s="31">
        <v>46058.0</v>
      </c>
      <c r="V8" s="17" t="s">
        <v>303</v>
      </c>
      <c r="W8" s="18"/>
      <c r="X8" s="18"/>
      <c r="Y8" s="18" t="str">
        <f>IF(AND(TODAY()&gt;Q8,T8&lt;&gt;"Done"),"TRỄ",IF(AND(C8="G4",VLOOKUP(B8,DoR!$A$2:$K$12,11,FALSE)&lt;&gt;"SẴN SÀNG PROMPT"),"THIẾU ĐẦU VÀO",""))</f>
        <v>TRỄ</v>
      </c>
    </row>
    <row r="9">
      <c r="A9" s="17" t="s">
        <v>581</v>
      </c>
      <c r="B9" s="17" t="s">
        <v>104</v>
      </c>
      <c r="C9" s="17" t="s">
        <v>42</v>
      </c>
      <c r="D9" s="17" t="s">
        <v>582</v>
      </c>
      <c r="E9" s="17" t="s">
        <v>583</v>
      </c>
      <c r="F9" s="17" t="s">
        <v>584</v>
      </c>
      <c r="G9" s="17" t="s">
        <v>585</v>
      </c>
      <c r="H9" s="28" t="s">
        <v>586</v>
      </c>
      <c r="I9" s="28"/>
      <c r="J9" s="28"/>
      <c r="K9" s="17" t="s">
        <v>587</v>
      </c>
      <c r="L9" s="17" t="s">
        <v>29</v>
      </c>
      <c r="M9" s="17" t="s">
        <v>103</v>
      </c>
      <c r="N9" s="17" t="s">
        <v>13</v>
      </c>
      <c r="O9" s="17" t="s">
        <v>73</v>
      </c>
      <c r="P9" s="32">
        <f>VLOOKUP(O9,'Danh mục'!$A$3:$D$12,2,FALSE)</f>
        <v>46293</v>
      </c>
      <c r="Q9" s="32">
        <f>VLOOKUP(O9,'Danh mục'!$A$3:$D$12,3,FALSE)</f>
        <v>46299</v>
      </c>
      <c r="R9" s="17" t="s">
        <v>280</v>
      </c>
      <c r="S9" s="17" t="s">
        <v>78</v>
      </c>
      <c r="T9" s="17" t="s">
        <v>77</v>
      </c>
      <c r="U9" s="31">
        <v>46086.0</v>
      </c>
      <c r="V9" s="18"/>
      <c r="W9" s="18"/>
      <c r="X9" s="18"/>
      <c r="Y9" s="18" t="str">
        <f>IF(AND(TODAY()&gt;Q9,T9&lt;&gt;"Done"),"TRỄ",IF(AND(C9="G4",VLOOKUP(B9,DoR!$A$2:$K$12,11,FALSE)&lt;&gt;"SẴN SÀNG PROMPT"),"THIẾU ĐẦU VÀO",""))</f>
        <v>TRỄ</v>
      </c>
    </row>
    <row r="10">
      <c r="A10" s="17" t="s">
        <v>327</v>
      </c>
      <c r="B10" s="17" t="s">
        <v>104</v>
      </c>
      <c r="C10" s="17" t="s">
        <v>51</v>
      </c>
      <c r="D10" s="17" t="s">
        <v>325</v>
      </c>
      <c r="E10" s="17" t="s">
        <v>325</v>
      </c>
      <c r="F10" s="17" t="s">
        <v>375</v>
      </c>
      <c r="G10" s="17" t="s">
        <v>326</v>
      </c>
      <c r="H10" s="28" t="s">
        <v>607</v>
      </c>
      <c r="I10" s="28"/>
      <c r="J10" s="28"/>
      <c r="K10" s="17" t="s">
        <v>326</v>
      </c>
      <c r="L10" s="17" t="s">
        <v>35</v>
      </c>
      <c r="M10" s="17" t="s">
        <v>118</v>
      </c>
      <c r="N10" s="17" t="s">
        <v>13</v>
      </c>
      <c r="O10" s="17" t="s">
        <v>73</v>
      </c>
      <c r="P10" s="32">
        <f>VLOOKUP(O10,'Danh mục'!$A$3:$D$12,2,FALSE)</f>
        <v>46293</v>
      </c>
      <c r="Q10" s="32">
        <f>VLOOKUP(O10,'Danh mục'!$A$3:$D$12,3,FALSE)</f>
        <v>46299</v>
      </c>
      <c r="R10" s="18"/>
      <c r="S10" s="17" t="s">
        <v>78</v>
      </c>
      <c r="T10" s="17" t="s">
        <v>77</v>
      </c>
      <c r="U10" s="31">
        <v>46086.0</v>
      </c>
      <c r="V10" s="17" t="s">
        <v>324</v>
      </c>
      <c r="W10" s="33" t="s">
        <v>623</v>
      </c>
      <c r="X10" s="18"/>
      <c r="Y10" s="18" t="str">
        <f>IF(AND(TODAY()&gt;Q10,T10&lt;&gt;"Done"),"TRỄ",IF(AND(C10="G4",VLOOKUP(B10,DoR!$A$2:$K$12,11,FALSE)&lt;&gt;"SẴN SÀNG PROMPT"),"THIẾU ĐẦU VÀO",""))</f>
        <v>TRỄ</v>
      </c>
    </row>
    <row r="11">
      <c r="A11" s="17" t="s">
        <v>640</v>
      </c>
      <c r="B11" s="17" t="s">
        <v>47</v>
      </c>
      <c r="C11" s="17" t="s">
        <v>45</v>
      </c>
      <c r="D11" s="17" t="s">
        <v>642</v>
      </c>
      <c r="E11" s="17" t="s">
        <v>643</v>
      </c>
      <c r="F11" s="17" t="s">
        <v>645</v>
      </c>
      <c r="G11" s="17" t="s">
        <v>647</v>
      </c>
      <c r="H11" s="28" t="s">
        <v>495</v>
      </c>
      <c r="I11" s="28"/>
      <c r="J11" s="28"/>
      <c r="K11" s="17" t="s">
        <v>650</v>
      </c>
      <c r="L11" s="17" t="s">
        <v>26</v>
      </c>
      <c r="M11" s="17" t="s">
        <v>96</v>
      </c>
      <c r="N11" s="17" t="s">
        <v>9</v>
      </c>
      <c r="O11" s="17" t="s">
        <v>79</v>
      </c>
      <c r="P11" s="32">
        <f>VLOOKUP(O11,'Danh mục'!$A$3:$D$12,2,FALSE)</f>
        <v>46300</v>
      </c>
      <c r="Q11" s="34">
        <f>VLOOKUP(O11,'Danh mục'!$A$3:$D$12,3,FALSE)</f>
        <v>46306</v>
      </c>
      <c r="R11" s="17" t="s">
        <v>657</v>
      </c>
      <c r="S11" s="17" t="s">
        <v>71</v>
      </c>
      <c r="T11" s="17" t="s">
        <v>70</v>
      </c>
      <c r="U11" s="17" t="s">
        <v>76</v>
      </c>
      <c r="V11" s="18"/>
      <c r="W11" s="18"/>
      <c r="X11" s="18"/>
      <c r="Y11" s="18" t="str">
        <f>IF(AND(TODAY()&gt;Q11,T11&lt;&gt;"Done"),"TRỄ",IF(AND(C11="G4",VLOOKUP(B11,DoR!$A$2:$K$12,11,FALSE)&lt;&gt;"SẴN SÀNG PROMPT"),"THIẾU ĐẦU VÀO",""))</f>
        <v>TRỄ</v>
      </c>
    </row>
    <row r="12">
      <c r="A12" s="17" t="s">
        <v>391</v>
      </c>
      <c r="B12" s="17" t="s">
        <v>47</v>
      </c>
      <c r="C12" s="17" t="s">
        <v>48</v>
      </c>
      <c r="D12" s="17" t="s">
        <v>672</v>
      </c>
      <c r="E12" s="17" t="s">
        <v>673</v>
      </c>
      <c r="F12" s="17" t="s">
        <v>375</v>
      </c>
      <c r="G12" s="17" t="s">
        <v>390</v>
      </c>
      <c r="H12" s="28" t="s">
        <v>467</v>
      </c>
      <c r="I12" s="28" t="s">
        <v>674</v>
      </c>
      <c r="J12" s="28" t="s">
        <v>676</v>
      </c>
      <c r="K12" s="17" t="s">
        <v>677</v>
      </c>
      <c r="L12" s="17" t="s">
        <v>21</v>
      </c>
      <c r="M12" s="17" t="s">
        <v>88</v>
      </c>
      <c r="N12" s="17" t="s">
        <v>13</v>
      </c>
      <c r="O12" s="17" t="s">
        <v>79</v>
      </c>
      <c r="P12" s="32">
        <f>VLOOKUP(O12,'Danh mục'!$A$3:$D$12,2,FALSE)</f>
        <v>46300</v>
      </c>
      <c r="Q12" s="34">
        <f>VLOOKUP(O12,'Danh mục'!$A$3:$D$12,3,FALSE)</f>
        <v>46306</v>
      </c>
      <c r="R12" s="18"/>
      <c r="S12" s="17" t="s">
        <v>83</v>
      </c>
      <c r="T12" s="17" t="s">
        <v>70</v>
      </c>
      <c r="U12" s="17" t="s">
        <v>76</v>
      </c>
      <c r="V12" s="17" t="s">
        <v>692</v>
      </c>
      <c r="W12" s="18"/>
      <c r="X12" s="18"/>
      <c r="Y12" s="18" t="str">
        <f>IF(AND(TODAY()&gt;Q12,T12&lt;&gt;"Done"),"TRỄ",IF(AND(C12="G4",VLOOKUP(B12,DoR!$A$2:$K$12,11,FALSE)&lt;&gt;"SẴN SÀNG PROMPT"),"THIẾU ĐẦU VÀO",""))</f>
        <v>TRỄ</v>
      </c>
    </row>
    <row r="13">
      <c r="A13" s="17" t="s">
        <v>397</v>
      </c>
      <c r="B13" s="17" t="s">
        <v>47</v>
      </c>
      <c r="C13" s="17" t="s">
        <v>51</v>
      </c>
      <c r="D13" s="17" t="s">
        <v>703</v>
      </c>
      <c r="E13" s="17" t="s">
        <v>704</v>
      </c>
      <c r="F13" s="17" t="s">
        <v>375</v>
      </c>
      <c r="G13" s="17" t="s">
        <v>396</v>
      </c>
      <c r="H13" s="28" t="s">
        <v>607</v>
      </c>
      <c r="I13" s="28"/>
      <c r="J13" s="28"/>
      <c r="K13" s="17" t="s">
        <v>707</v>
      </c>
      <c r="L13" s="17" t="s">
        <v>35</v>
      </c>
      <c r="M13" s="17" t="s">
        <v>118</v>
      </c>
      <c r="N13" s="17" t="s">
        <v>13</v>
      </c>
      <c r="O13" s="17" t="s">
        <v>79</v>
      </c>
      <c r="P13" s="32">
        <f>VLOOKUP(O13,'Danh mục'!$A$3:$D$12,2,FALSE)</f>
        <v>46300</v>
      </c>
      <c r="Q13" s="34">
        <f>VLOOKUP(O13,'Danh mục'!$A$3:$D$12,3,FALSE)</f>
        <v>46306</v>
      </c>
      <c r="R13" s="18"/>
      <c r="S13" s="17" t="s">
        <v>78</v>
      </c>
      <c r="T13" s="17" t="s">
        <v>70</v>
      </c>
      <c r="U13" s="17" t="s">
        <v>76</v>
      </c>
      <c r="V13" s="17" t="s">
        <v>717</v>
      </c>
      <c r="W13" s="33" t="s">
        <v>722</v>
      </c>
      <c r="X13" s="18"/>
      <c r="Y13" s="18" t="str">
        <f>IF(AND(TODAY()&gt;Q13,T13&lt;&gt;"Done"),"TRỄ",IF(AND(C13="G4",VLOOKUP(B13,DoR!$A$2:$K$12,11,FALSE)&lt;&gt;"SẴN SÀNG PROMPT"),"THIẾU ĐẦU VÀO",""))</f>
        <v>TRỄ</v>
      </c>
    </row>
    <row r="14">
      <c r="A14" s="17" t="s">
        <v>386</v>
      </c>
      <c r="B14" s="17" t="s">
        <v>85</v>
      </c>
      <c r="C14" s="17" t="s">
        <v>48</v>
      </c>
      <c r="D14" s="17" t="s">
        <v>382</v>
      </c>
      <c r="E14" s="17" t="s">
        <v>382</v>
      </c>
      <c r="F14" s="17" t="s">
        <v>375</v>
      </c>
      <c r="G14" s="17" t="s">
        <v>384</v>
      </c>
      <c r="H14" s="28" t="s">
        <v>378</v>
      </c>
      <c r="I14" s="28" t="s">
        <v>733</v>
      </c>
      <c r="J14" s="28" t="s">
        <v>734</v>
      </c>
      <c r="K14" s="17" t="s">
        <v>384</v>
      </c>
      <c r="L14" s="17" t="s">
        <v>18</v>
      </c>
      <c r="M14" s="17" t="s">
        <v>81</v>
      </c>
      <c r="N14" s="17" t="s">
        <v>13</v>
      </c>
      <c r="O14" s="17" t="s">
        <v>79</v>
      </c>
      <c r="P14" s="32">
        <f>VLOOKUP(O14,'Danh mục'!$A$3:$D$12,2,FALSE)</f>
        <v>46300</v>
      </c>
      <c r="Q14" s="34">
        <f>VLOOKUP(O14,'Danh mục'!$A$3:$D$12,3,FALSE)</f>
        <v>46306</v>
      </c>
      <c r="R14" s="18"/>
      <c r="S14" s="17" t="s">
        <v>78</v>
      </c>
      <c r="T14" s="17" t="s">
        <v>70</v>
      </c>
      <c r="U14" s="17" t="s">
        <v>76</v>
      </c>
      <c r="V14" s="17" t="s">
        <v>380</v>
      </c>
      <c r="W14" s="18"/>
      <c r="X14" s="18"/>
      <c r="Y14" s="18" t="str">
        <f>IF(AND(TODAY()&gt;Q14,T14&lt;&gt;"Done"),"TRỄ",IF(AND(C14="G4",VLOOKUP(B14,DoR!$A$2:$K$12,11,FALSE)&lt;&gt;"SẴN SÀNG PROMPT"),"THIẾU ĐẦU VÀO",""))</f>
        <v>TRỄ</v>
      </c>
    </row>
    <row r="15">
      <c r="A15" s="17" t="s">
        <v>735</v>
      </c>
      <c r="B15" s="17" t="s">
        <v>93</v>
      </c>
      <c r="C15" s="17" t="s">
        <v>44</v>
      </c>
      <c r="D15" s="17" t="s">
        <v>736</v>
      </c>
      <c r="E15" s="17" t="s">
        <v>737</v>
      </c>
      <c r="F15" s="17" t="s">
        <v>738</v>
      </c>
      <c r="G15" s="17" t="s">
        <v>739</v>
      </c>
      <c r="H15" s="28" t="s">
        <v>467</v>
      </c>
      <c r="I15" s="28" t="s">
        <v>740</v>
      </c>
      <c r="J15" s="28" t="s">
        <v>741</v>
      </c>
      <c r="K15" s="17" t="s">
        <v>742</v>
      </c>
      <c r="L15" s="17" t="s">
        <v>21</v>
      </c>
      <c r="M15" s="17" t="s">
        <v>88</v>
      </c>
      <c r="N15" s="17" t="s">
        <v>9</v>
      </c>
      <c r="O15" s="17" t="s">
        <v>79</v>
      </c>
      <c r="P15" s="32">
        <f>VLOOKUP(O15,'Danh mục'!$A$3:$D$12,2,FALSE)</f>
        <v>46300</v>
      </c>
      <c r="Q15" s="34">
        <f>VLOOKUP(O15,'Danh mục'!$A$3:$D$12,3,FALSE)</f>
        <v>46306</v>
      </c>
      <c r="R15" s="17" t="s">
        <v>535</v>
      </c>
      <c r="S15" s="17" t="s">
        <v>78</v>
      </c>
      <c r="T15" s="17" t="s">
        <v>70</v>
      </c>
      <c r="U15" s="17" t="s">
        <v>76</v>
      </c>
      <c r="V15" s="18"/>
      <c r="W15" s="18"/>
      <c r="X15" s="18"/>
      <c r="Y15" s="18" t="str">
        <f>IF(AND(TODAY()&gt;Q15,T15&lt;&gt;"Done"),"TRỄ",IF(AND(C15="G4",VLOOKUP(B15,DoR!$A$2:$K$12,11,FALSE)&lt;&gt;"SẴN SÀNG PROMPT"),"THIẾU ĐẦU VÀO",""))</f>
        <v>TRỄ</v>
      </c>
    </row>
    <row r="16">
      <c r="A16" s="17" t="s">
        <v>743</v>
      </c>
      <c r="B16" s="17" t="s">
        <v>98</v>
      </c>
      <c r="C16" s="17" t="s">
        <v>44</v>
      </c>
      <c r="D16" s="17" t="s">
        <v>744</v>
      </c>
      <c r="E16" s="17" t="s">
        <v>745</v>
      </c>
      <c r="F16" s="17" t="s">
        <v>746</v>
      </c>
      <c r="G16" s="17" t="s">
        <v>747</v>
      </c>
      <c r="H16" s="28" t="s">
        <v>430</v>
      </c>
      <c r="I16" s="28" t="s">
        <v>748</v>
      </c>
      <c r="J16" s="28" t="s">
        <v>749</v>
      </c>
      <c r="K16" s="17" t="s">
        <v>750</v>
      </c>
      <c r="L16" s="17" t="s">
        <v>33</v>
      </c>
      <c r="M16" s="17" t="s">
        <v>111</v>
      </c>
      <c r="N16" s="17" t="s">
        <v>13</v>
      </c>
      <c r="O16" s="17" t="s">
        <v>79</v>
      </c>
      <c r="P16" s="32">
        <f>VLOOKUP(O16,'Danh mục'!$A$3:$D$12,2,FALSE)</f>
        <v>46300</v>
      </c>
      <c r="Q16" s="34">
        <f>VLOOKUP(O16,'Danh mục'!$A$3:$D$12,3,FALSE)</f>
        <v>46306</v>
      </c>
      <c r="R16" s="17" t="s">
        <v>240</v>
      </c>
      <c r="S16" s="17" t="s">
        <v>78</v>
      </c>
      <c r="T16" s="17" t="s">
        <v>70</v>
      </c>
      <c r="U16" s="31">
        <v>46058.0</v>
      </c>
      <c r="V16" s="18"/>
      <c r="W16" s="18"/>
      <c r="X16" s="18"/>
      <c r="Y16" s="18" t="str">
        <f>IF(AND(TODAY()&gt;Q16,T16&lt;&gt;"Done"),"TRỄ",IF(AND(C16="G4",VLOOKUP(B16,DoR!$A$2:$K$12,11,FALSE)&lt;&gt;"SẴN SÀNG PROMPT"),"THIẾU ĐẦU VÀO",""))</f>
        <v>TRỄ</v>
      </c>
    </row>
    <row r="17">
      <c r="A17" s="17" t="s">
        <v>370</v>
      </c>
      <c r="B17" s="17" t="s">
        <v>98</v>
      </c>
      <c r="C17" s="17" t="s">
        <v>48</v>
      </c>
      <c r="D17" s="17" t="s">
        <v>366</v>
      </c>
      <c r="E17" s="17" t="s">
        <v>366</v>
      </c>
      <c r="F17" s="17" t="s">
        <v>375</v>
      </c>
      <c r="G17" s="17" t="s">
        <v>368</v>
      </c>
      <c r="H17" s="28" t="s">
        <v>430</v>
      </c>
      <c r="I17" s="28" t="s">
        <v>751</v>
      </c>
      <c r="J17" s="28" t="s">
        <v>752</v>
      </c>
      <c r="K17" s="17" t="s">
        <v>368</v>
      </c>
      <c r="L17" s="17" t="s">
        <v>33</v>
      </c>
      <c r="M17" s="17" t="s">
        <v>111</v>
      </c>
      <c r="N17" s="17" t="s">
        <v>13</v>
      </c>
      <c r="O17" s="17" t="s">
        <v>79</v>
      </c>
      <c r="P17" s="32">
        <f>VLOOKUP(O17,'Danh mục'!$A$3:$D$12,2,FALSE)</f>
        <v>46300</v>
      </c>
      <c r="Q17" s="34">
        <f>VLOOKUP(O17,'Danh mục'!$A$3:$D$12,3,FALSE)</f>
        <v>46306</v>
      </c>
      <c r="R17" s="18"/>
      <c r="S17" s="17" t="s">
        <v>71</v>
      </c>
      <c r="T17" s="17" t="s">
        <v>70</v>
      </c>
      <c r="U17" s="31">
        <v>46058.0</v>
      </c>
      <c r="V17" s="17" t="s">
        <v>364</v>
      </c>
      <c r="W17" s="18"/>
      <c r="X17" s="18"/>
      <c r="Y17" s="18" t="str">
        <f>IF(AND(TODAY()&gt;Q17,T17&lt;&gt;"Done"),"TRỄ",IF(AND(C17="G4",VLOOKUP(B17,DoR!$A$2:$K$12,11,FALSE)&lt;&gt;"SẴN SÀNG PROMPT"),"THIẾU ĐẦU VÀO",""))</f>
        <v>TRỄ</v>
      </c>
    </row>
    <row r="18">
      <c r="A18" s="17" t="s">
        <v>163</v>
      </c>
      <c r="B18" s="17" t="s">
        <v>47</v>
      </c>
      <c r="C18" s="17" t="s">
        <v>46</v>
      </c>
      <c r="D18" s="17" t="s">
        <v>753</v>
      </c>
      <c r="E18" s="17" t="s">
        <v>754</v>
      </c>
      <c r="F18" s="17" t="s">
        <v>755</v>
      </c>
      <c r="G18" s="17" t="s">
        <v>756</v>
      </c>
      <c r="H18" s="28" t="s">
        <v>495</v>
      </c>
      <c r="I18" s="28" t="s">
        <v>757</v>
      </c>
      <c r="J18" s="28" t="s">
        <v>758</v>
      </c>
      <c r="K18" s="17" t="s">
        <v>759</v>
      </c>
      <c r="L18" s="17" t="s">
        <v>26</v>
      </c>
      <c r="M18" s="17" t="s">
        <v>96</v>
      </c>
      <c r="N18" s="17" t="s">
        <v>13</v>
      </c>
      <c r="O18" s="17" t="s">
        <v>84</v>
      </c>
      <c r="P18" s="34">
        <f>VLOOKUP(O18,'Danh mục'!$A$3:$D$12,2,FALSE)</f>
        <v>46307</v>
      </c>
      <c r="Q18" s="34">
        <f>VLOOKUP(O18,'Danh mục'!$A$3:$D$12,3,FALSE)</f>
        <v>46313</v>
      </c>
      <c r="R18" s="17" t="s">
        <v>640</v>
      </c>
      <c r="S18" s="17" t="s">
        <v>71</v>
      </c>
      <c r="T18" s="17" t="s">
        <v>70</v>
      </c>
      <c r="U18" s="17" t="s">
        <v>76</v>
      </c>
      <c r="V18" s="18"/>
      <c r="W18" s="18"/>
      <c r="X18" s="18"/>
      <c r="Y18" s="18" t="str">
        <f>IF(AND(TODAY()&gt;Q18,T18&lt;&gt;"Done"),"TRỄ",IF(AND(C18="G4",VLOOKUP(B18,DoR!$A$2:$K$12,11,FALSE)&lt;&gt;"SẴN SÀNG PROMPT"),"THIẾU ĐẦU VÀO",""))</f>
        <v>TRỄ</v>
      </c>
    </row>
    <row r="19">
      <c r="A19" s="17" t="s">
        <v>418</v>
      </c>
      <c r="B19" s="17" t="s">
        <v>47</v>
      </c>
      <c r="C19" s="17" t="s">
        <v>48</v>
      </c>
      <c r="D19" s="17" t="s">
        <v>760</v>
      </c>
      <c r="E19" s="17" t="s">
        <v>761</v>
      </c>
      <c r="F19" s="17" t="s">
        <v>375</v>
      </c>
      <c r="G19" s="17" t="s">
        <v>417</v>
      </c>
      <c r="H19" s="28" t="s">
        <v>495</v>
      </c>
      <c r="I19" s="28" t="s">
        <v>757</v>
      </c>
      <c r="J19" s="28" t="s">
        <v>758</v>
      </c>
      <c r="K19" s="17" t="s">
        <v>762</v>
      </c>
      <c r="L19" s="17" t="s">
        <v>26</v>
      </c>
      <c r="M19" s="17" t="s">
        <v>96</v>
      </c>
      <c r="N19" s="17" t="s">
        <v>13</v>
      </c>
      <c r="O19" s="17" t="s">
        <v>84</v>
      </c>
      <c r="P19" s="34">
        <f>VLOOKUP(O19,'Danh mục'!$A$3:$D$12,2,FALSE)</f>
        <v>46307</v>
      </c>
      <c r="Q19" s="34">
        <f>VLOOKUP(O19,'Danh mục'!$A$3:$D$12,3,FALSE)</f>
        <v>46313</v>
      </c>
      <c r="R19" s="18"/>
      <c r="S19" s="17" t="s">
        <v>78</v>
      </c>
      <c r="T19" s="17" t="s">
        <v>70</v>
      </c>
      <c r="U19" s="17" t="s">
        <v>76</v>
      </c>
      <c r="V19" s="17" t="s">
        <v>763</v>
      </c>
      <c r="W19" s="18"/>
      <c r="X19" s="18"/>
      <c r="Y19" s="18" t="str">
        <f>IF(AND(TODAY()&gt;Q19,T19&lt;&gt;"Done"),"TRỄ",IF(AND(C19="G4",VLOOKUP(B19,DoR!$A$2:$K$12,11,FALSE)&lt;&gt;"SẴN SÀNG PROMPT"),"THIẾU ĐẦU VÀO",""))</f>
        <v>TRỄ</v>
      </c>
    </row>
    <row r="20">
      <c r="A20" s="17" t="s">
        <v>764</v>
      </c>
      <c r="B20" s="17" t="s">
        <v>85</v>
      </c>
      <c r="C20" s="17" t="s">
        <v>45</v>
      </c>
      <c r="D20" s="17" t="s">
        <v>765</v>
      </c>
      <c r="E20" s="17" t="s">
        <v>766</v>
      </c>
      <c r="F20" s="17" t="s">
        <v>767</v>
      </c>
      <c r="G20" s="17" t="s">
        <v>768</v>
      </c>
      <c r="H20" s="28" t="s">
        <v>769</v>
      </c>
      <c r="I20" s="28"/>
      <c r="J20" s="28"/>
      <c r="K20" s="17" t="s">
        <v>770</v>
      </c>
      <c r="L20" s="17" t="s">
        <v>9</v>
      </c>
      <c r="M20" s="17" t="s">
        <v>69</v>
      </c>
      <c r="N20" s="17" t="s">
        <v>13</v>
      </c>
      <c r="O20" s="17" t="s">
        <v>84</v>
      </c>
      <c r="P20" s="34">
        <f>VLOOKUP(O20,'Danh mục'!$A$3:$D$12,2,FALSE)</f>
        <v>46307</v>
      </c>
      <c r="Q20" s="34">
        <f>VLOOKUP(O20,'Danh mục'!$A$3:$D$12,3,FALSE)</f>
        <v>46313</v>
      </c>
      <c r="R20" s="17" t="s">
        <v>771</v>
      </c>
      <c r="S20" s="17" t="s">
        <v>71</v>
      </c>
      <c r="T20" s="17" t="s">
        <v>70</v>
      </c>
      <c r="U20" s="17" t="s">
        <v>76</v>
      </c>
      <c r="V20" s="18"/>
      <c r="W20" s="18"/>
      <c r="X20" s="18"/>
      <c r="Y20" s="18" t="str">
        <f>IF(AND(TODAY()&gt;Q20,T20&lt;&gt;"Done"),"TRỄ",IF(AND(C20="G4",VLOOKUP(B20,DoR!$A$2:$K$12,11,FALSE)&lt;&gt;"SẴN SÀNG PROMPT"),"THIẾU ĐẦU VÀO",""))</f>
        <v>TRỄ</v>
      </c>
    </row>
    <row r="21">
      <c r="A21" s="17" t="s">
        <v>772</v>
      </c>
      <c r="B21" s="17" t="s">
        <v>85</v>
      </c>
      <c r="C21" s="17" t="s">
        <v>46</v>
      </c>
      <c r="D21" s="17" t="s">
        <v>773</v>
      </c>
      <c r="E21" s="17" t="s">
        <v>774</v>
      </c>
      <c r="F21" s="17" t="s">
        <v>775</v>
      </c>
      <c r="G21" s="17" t="s">
        <v>776</v>
      </c>
      <c r="H21" s="28" t="s">
        <v>378</v>
      </c>
      <c r="I21" s="28"/>
      <c r="J21" s="28"/>
      <c r="K21" s="17" t="s">
        <v>777</v>
      </c>
      <c r="L21" s="17" t="s">
        <v>18</v>
      </c>
      <c r="M21" s="17" t="s">
        <v>81</v>
      </c>
      <c r="N21" s="17" t="s">
        <v>9</v>
      </c>
      <c r="O21" s="17" t="s">
        <v>84</v>
      </c>
      <c r="P21" s="34">
        <f>VLOOKUP(O21,'Danh mục'!$A$3:$D$12,2,FALSE)</f>
        <v>46307</v>
      </c>
      <c r="Q21" s="34">
        <f>VLOOKUP(O21,'Danh mục'!$A$3:$D$12,3,FALSE)</f>
        <v>46313</v>
      </c>
      <c r="R21" s="17" t="s">
        <v>764</v>
      </c>
      <c r="S21" s="17" t="s">
        <v>78</v>
      </c>
      <c r="T21" s="17" t="s">
        <v>70</v>
      </c>
      <c r="U21" s="17" t="s">
        <v>76</v>
      </c>
      <c r="V21" s="18"/>
      <c r="W21" s="35" t="s">
        <v>778</v>
      </c>
      <c r="X21" s="18"/>
      <c r="Y21" s="18" t="str">
        <f>IF(AND(TODAY()&gt;Q21,T21&lt;&gt;"Done"),"TRỄ",IF(AND(C21="G4",VLOOKUP(B21,DoR!$A$2:$K$12,11,FALSE)&lt;&gt;"SẴN SÀNG PROMPT"),"THIẾU ĐẦU VÀO",""))</f>
        <v>TRỄ</v>
      </c>
    </row>
    <row r="22">
      <c r="A22" s="17" t="s">
        <v>428</v>
      </c>
      <c r="B22" s="17" t="s">
        <v>85</v>
      </c>
      <c r="C22" s="17" t="s">
        <v>48</v>
      </c>
      <c r="D22" s="17" t="s">
        <v>426</v>
      </c>
      <c r="E22" s="17" t="s">
        <v>426</v>
      </c>
      <c r="F22" s="17" t="s">
        <v>375</v>
      </c>
      <c r="G22" s="17" t="s">
        <v>427</v>
      </c>
      <c r="H22" s="28" t="s">
        <v>378</v>
      </c>
      <c r="I22" s="28" t="s">
        <v>733</v>
      </c>
      <c r="J22" s="28" t="s">
        <v>734</v>
      </c>
      <c r="K22" s="17" t="s">
        <v>427</v>
      </c>
      <c r="L22" s="17" t="s">
        <v>18</v>
      </c>
      <c r="M22" s="17" t="s">
        <v>81</v>
      </c>
      <c r="N22" s="17" t="s">
        <v>13</v>
      </c>
      <c r="O22" s="17" t="s">
        <v>84</v>
      </c>
      <c r="P22" s="34">
        <f>VLOOKUP(O22,'Danh mục'!$A$3:$D$12,2,FALSE)</f>
        <v>46307</v>
      </c>
      <c r="Q22" s="34">
        <f>VLOOKUP(O22,'Danh mục'!$A$3:$D$12,3,FALSE)</f>
        <v>46313</v>
      </c>
      <c r="R22" s="18"/>
      <c r="S22" s="17" t="s">
        <v>78</v>
      </c>
      <c r="T22" s="17" t="s">
        <v>70</v>
      </c>
      <c r="U22" s="17" t="s">
        <v>76</v>
      </c>
      <c r="V22" s="17" t="s">
        <v>425</v>
      </c>
      <c r="W22" s="18"/>
      <c r="X22" s="18"/>
      <c r="Y22" s="18" t="str">
        <f>IF(AND(TODAY()&gt;Q22,T22&lt;&gt;"Done"),"TRỄ",IF(AND(C22="G4",VLOOKUP(B22,DoR!$A$2:$K$12,11,FALSE)&lt;&gt;"SẴN SÀNG PROMPT"),"THIẾU ĐẦU VÀO",""))</f>
        <v>TRỄ</v>
      </c>
    </row>
    <row r="23">
      <c r="A23" s="17" t="s">
        <v>779</v>
      </c>
      <c r="B23" s="17" t="s">
        <v>93</v>
      </c>
      <c r="C23" s="17" t="s">
        <v>45</v>
      </c>
      <c r="D23" s="17" t="s">
        <v>780</v>
      </c>
      <c r="E23" s="17" t="s">
        <v>781</v>
      </c>
      <c r="F23" s="17" t="s">
        <v>782</v>
      </c>
      <c r="G23" s="17" t="s">
        <v>783</v>
      </c>
      <c r="H23" s="28" t="s">
        <v>467</v>
      </c>
      <c r="I23" s="28"/>
      <c r="J23" s="28"/>
      <c r="K23" s="17" t="s">
        <v>784</v>
      </c>
      <c r="L23" s="17" t="s">
        <v>21</v>
      </c>
      <c r="M23" s="17" t="s">
        <v>88</v>
      </c>
      <c r="N23" s="17" t="s">
        <v>9</v>
      </c>
      <c r="O23" s="17" t="s">
        <v>84</v>
      </c>
      <c r="P23" s="34">
        <f>VLOOKUP(O23,'Danh mục'!$A$3:$D$12,2,FALSE)</f>
        <v>46307</v>
      </c>
      <c r="Q23" s="34">
        <f>VLOOKUP(O23,'Danh mục'!$A$3:$D$12,3,FALSE)</f>
        <v>46313</v>
      </c>
      <c r="R23" s="17" t="s">
        <v>735</v>
      </c>
      <c r="S23" s="17" t="s">
        <v>71</v>
      </c>
      <c r="T23" s="17" t="s">
        <v>70</v>
      </c>
      <c r="U23" s="17" t="s">
        <v>76</v>
      </c>
      <c r="V23" s="18"/>
      <c r="W23" s="18"/>
      <c r="X23" s="18"/>
      <c r="Y23" s="18" t="str">
        <f>IF(AND(TODAY()&gt;Q23,T23&lt;&gt;"Done"),"TRỄ",IF(AND(C23="G4",VLOOKUP(B23,DoR!$A$2:$K$12,11,FALSE)&lt;&gt;"SẴN SÀNG PROMPT"),"THIẾU ĐẦU VÀO",""))</f>
        <v>TRỄ</v>
      </c>
    </row>
    <row r="24">
      <c r="A24" s="17" t="s">
        <v>785</v>
      </c>
      <c r="B24" s="17" t="s">
        <v>98</v>
      </c>
      <c r="C24" s="17" t="s">
        <v>45</v>
      </c>
      <c r="D24" s="17" t="s">
        <v>786</v>
      </c>
      <c r="E24" s="17" t="s">
        <v>787</v>
      </c>
      <c r="F24" s="17" t="s">
        <v>788</v>
      </c>
      <c r="G24" s="17" t="s">
        <v>789</v>
      </c>
      <c r="H24" s="28" t="s">
        <v>430</v>
      </c>
      <c r="I24" s="28"/>
      <c r="J24" s="28"/>
      <c r="K24" s="17" t="s">
        <v>790</v>
      </c>
      <c r="L24" s="17" t="s">
        <v>33</v>
      </c>
      <c r="M24" s="17" t="s">
        <v>111</v>
      </c>
      <c r="N24" s="17" t="s">
        <v>13</v>
      </c>
      <c r="O24" s="17" t="s">
        <v>84</v>
      </c>
      <c r="P24" s="34">
        <f>VLOOKUP(O24,'Danh mục'!$A$3:$D$12,2,FALSE)</f>
        <v>46307</v>
      </c>
      <c r="Q24" s="34">
        <f>VLOOKUP(O24,'Danh mục'!$A$3:$D$12,3,FALSE)</f>
        <v>46313</v>
      </c>
      <c r="R24" s="17" t="s">
        <v>743</v>
      </c>
      <c r="S24" s="17" t="s">
        <v>71</v>
      </c>
      <c r="T24" s="17" t="s">
        <v>70</v>
      </c>
      <c r="U24" s="31">
        <v>46058.0</v>
      </c>
      <c r="V24" s="18"/>
      <c r="W24" s="18"/>
      <c r="X24" s="18"/>
      <c r="Y24" s="18" t="str">
        <f>IF(AND(TODAY()&gt;Q24,T24&lt;&gt;"Done"),"TRỄ",IF(AND(C24="G4",VLOOKUP(B24,DoR!$A$2:$K$12,11,FALSE)&lt;&gt;"SẴN SÀNG PROMPT"),"THIẾU ĐẦU VÀO",""))</f>
        <v>TRỄ</v>
      </c>
    </row>
    <row r="25">
      <c r="A25" s="17" t="s">
        <v>791</v>
      </c>
      <c r="B25" s="17" t="s">
        <v>104</v>
      </c>
      <c r="C25" s="17" t="s">
        <v>44</v>
      </c>
      <c r="D25" s="17" t="s">
        <v>792</v>
      </c>
      <c r="E25" s="17" t="s">
        <v>793</v>
      </c>
      <c r="F25" s="17" t="s">
        <v>794</v>
      </c>
      <c r="G25" s="17" t="s">
        <v>795</v>
      </c>
      <c r="H25" s="28" t="s">
        <v>586</v>
      </c>
      <c r="I25" s="28" t="s">
        <v>796</v>
      </c>
      <c r="J25" s="28" t="s">
        <v>797</v>
      </c>
      <c r="K25" s="17" t="s">
        <v>798</v>
      </c>
      <c r="L25" s="17" t="s">
        <v>29</v>
      </c>
      <c r="M25" s="17" t="s">
        <v>103</v>
      </c>
      <c r="N25" s="17" t="s">
        <v>13</v>
      </c>
      <c r="O25" s="17" t="s">
        <v>84</v>
      </c>
      <c r="P25" s="34">
        <f>VLOOKUP(O25,'Danh mục'!$A$3:$D$12,2,FALSE)</f>
        <v>46307</v>
      </c>
      <c r="Q25" s="34">
        <f>VLOOKUP(O25,'Danh mục'!$A$3:$D$12,3,FALSE)</f>
        <v>46313</v>
      </c>
      <c r="R25" s="17" t="s">
        <v>581</v>
      </c>
      <c r="S25" s="17" t="s">
        <v>78</v>
      </c>
      <c r="T25" s="17" t="s">
        <v>70</v>
      </c>
      <c r="U25" s="31">
        <v>46086.0</v>
      </c>
      <c r="V25" s="18"/>
      <c r="W25" s="18"/>
      <c r="X25" s="18"/>
      <c r="Y25" s="18" t="str">
        <f>IF(AND(TODAY()&gt;Q25,T25&lt;&gt;"Done"),"TRỄ",IF(AND(C25="G4",VLOOKUP(B25,DoR!$A$2:$K$12,11,FALSE)&lt;&gt;"SẴN SÀNG PROMPT"),"THIẾU ĐẦU VÀO",""))</f>
        <v>TRỄ</v>
      </c>
    </row>
    <row r="26">
      <c r="A26" s="17" t="s">
        <v>423</v>
      </c>
      <c r="B26" s="17" t="s">
        <v>104</v>
      </c>
      <c r="C26" s="17" t="s">
        <v>48</v>
      </c>
      <c r="D26" s="17" t="s">
        <v>421</v>
      </c>
      <c r="E26" s="17" t="s">
        <v>421</v>
      </c>
      <c r="F26" s="17" t="s">
        <v>375</v>
      </c>
      <c r="G26" s="17" t="s">
        <v>422</v>
      </c>
      <c r="H26" s="28" t="s">
        <v>430</v>
      </c>
      <c r="I26" s="28" t="s">
        <v>799</v>
      </c>
      <c r="J26" s="28" t="s">
        <v>800</v>
      </c>
      <c r="K26" s="17" t="s">
        <v>422</v>
      </c>
      <c r="L26" s="17" t="s">
        <v>33</v>
      </c>
      <c r="M26" s="17" t="s">
        <v>111</v>
      </c>
      <c r="N26" s="17" t="s">
        <v>13</v>
      </c>
      <c r="O26" s="17" t="s">
        <v>84</v>
      </c>
      <c r="P26" s="34">
        <f>VLOOKUP(O26,'Danh mục'!$A$3:$D$12,2,FALSE)</f>
        <v>46307</v>
      </c>
      <c r="Q26" s="34">
        <f>VLOOKUP(O26,'Danh mục'!$A$3:$D$12,3,FALSE)</f>
        <v>46313</v>
      </c>
      <c r="R26" s="18"/>
      <c r="S26" s="17" t="s">
        <v>78</v>
      </c>
      <c r="T26" s="17" t="s">
        <v>70</v>
      </c>
      <c r="U26" s="17" t="s">
        <v>76</v>
      </c>
      <c r="V26" s="17" t="s">
        <v>420</v>
      </c>
      <c r="W26" s="18"/>
      <c r="X26" s="18"/>
      <c r="Y26" s="18" t="str">
        <f>IF(AND(TODAY()&gt;Q26,T26&lt;&gt;"Done"),"TRỄ",IF(AND(C26="G4",VLOOKUP(B26,DoR!$A$2:$K$12,11,FALSE)&lt;&gt;"SẴN SÀNG PROMPT"),"THIẾU ĐẦU VÀO",""))</f>
        <v>TRỄ</v>
      </c>
    </row>
    <row r="27">
      <c r="A27" s="17" t="s">
        <v>449</v>
      </c>
      <c r="B27" s="17" t="s">
        <v>47</v>
      </c>
      <c r="C27" s="17" t="s">
        <v>42</v>
      </c>
      <c r="D27" s="17" t="s">
        <v>447</v>
      </c>
      <c r="E27" s="17" t="s">
        <v>447</v>
      </c>
      <c r="F27" s="17" t="s">
        <v>375</v>
      </c>
      <c r="G27" s="17" t="s">
        <v>448</v>
      </c>
      <c r="H27" s="28" t="s">
        <v>769</v>
      </c>
      <c r="I27" s="28"/>
      <c r="J27" s="28"/>
      <c r="K27" s="17" t="s">
        <v>448</v>
      </c>
      <c r="L27" s="17" t="s">
        <v>9</v>
      </c>
      <c r="M27" s="17" t="s">
        <v>69</v>
      </c>
      <c r="N27" s="17" t="s">
        <v>13</v>
      </c>
      <c r="O27" s="17" t="s">
        <v>91</v>
      </c>
      <c r="P27" s="34">
        <f>VLOOKUP(O27,'Danh mục'!$A$3:$D$12,2,FALSE)</f>
        <v>46314</v>
      </c>
      <c r="Q27" s="34">
        <f>VLOOKUP(O27,'Danh mục'!$A$3:$D$12,3,FALSE)</f>
        <v>46320</v>
      </c>
      <c r="R27" s="18"/>
      <c r="S27" s="17" t="s">
        <v>71</v>
      </c>
      <c r="T27" s="17" t="s">
        <v>70</v>
      </c>
      <c r="U27" s="17" t="s">
        <v>76</v>
      </c>
      <c r="V27" s="17" t="s">
        <v>446</v>
      </c>
      <c r="W27" s="35" t="s">
        <v>801</v>
      </c>
      <c r="X27" s="18"/>
      <c r="Y27" s="18" t="str">
        <f>IF(AND(TODAY()&gt;Q27,T27&lt;&gt;"Done"),"TRỄ",IF(AND(C27="G4",VLOOKUP(B27,DoR!$A$2:$K$12,11,FALSE)&lt;&gt;"SẴN SÀNG PROMPT"),"THIẾU ĐẦU VÀO",""))</f>
        <v/>
      </c>
    </row>
    <row r="28">
      <c r="A28" s="17" t="s">
        <v>434</v>
      </c>
      <c r="B28" s="17" t="s">
        <v>47</v>
      </c>
      <c r="C28" s="17" t="s">
        <v>48</v>
      </c>
      <c r="D28" s="17" t="s">
        <v>802</v>
      </c>
      <c r="E28" s="17" t="s">
        <v>803</v>
      </c>
      <c r="F28" s="17" t="s">
        <v>375</v>
      </c>
      <c r="G28" s="17" t="s">
        <v>481</v>
      </c>
      <c r="H28" s="28" t="s">
        <v>467</v>
      </c>
      <c r="I28" s="28" t="s">
        <v>674</v>
      </c>
      <c r="J28" s="28" t="s">
        <v>676</v>
      </c>
      <c r="K28" s="17" t="s">
        <v>804</v>
      </c>
      <c r="L28" s="17" t="s">
        <v>21</v>
      </c>
      <c r="M28" s="17" t="s">
        <v>88</v>
      </c>
      <c r="N28" s="17" t="s">
        <v>13</v>
      </c>
      <c r="O28" s="17" t="s">
        <v>91</v>
      </c>
      <c r="P28" s="34">
        <f>VLOOKUP(O28,'Danh mục'!$A$3:$D$12,2,FALSE)</f>
        <v>46314</v>
      </c>
      <c r="Q28" s="34">
        <f>VLOOKUP(O28,'Danh mục'!$A$3:$D$12,3,FALSE)</f>
        <v>46320</v>
      </c>
      <c r="R28" s="18"/>
      <c r="S28" s="17" t="s">
        <v>78</v>
      </c>
      <c r="T28" s="17" t="s">
        <v>70</v>
      </c>
      <c r="U28" s="17" t="s">
        <v>76</v>
      </c>
      <c r="V28" s="17" t="s">
        <v>805</v>
      </c>
      <c r="W28" s="18"/>
      <c r="X28" s="18"/>
      <c r="Y28" s="18" t="str">
        <f>IF(AND(TODAY()&gt;Q28,T28&lt;&gt;"Done"),"TRỄ",IF(AND(C28="G4",VLOOKUP(B28,DoR!$A$2:$K$12,11,FALSE)&lt;&gt;"SẴN SÀNG PROMPT"),"THIẾU ĐẦU VÀO",""))</f>
        <v/>
      </c>
    </row>
    <row r="29">
      <c r="A29" s="17" t="s">
        <v>477</v>
      </c>
      <c r="B29" s="17" t="s">
        <v>85</v>
      </c>
      <c r="C29" s="17" t="s">
        <v>48</v>
      </c>
      <c r="D29" s="17" t="s">
        <v>475</v>
      </c>
      <c r="E29" s="17" t="s">
        <v>475</v>
      </c>
      <c r="F29" s="17" t="s">
        <v>375</v>
      </c>
      <c r="G29" s="17" t="s">
        <v>476</v>
      </c>
      <c r="H29" s="28" t="s">
        <v>378</v>
      </c>
      <c r="I29" s="28" t="s">
        <v>733</v>
      </c>
      <c r="J29" s="28" t="s">
        <v>734</v>
      </c>
      <c r="K29" s="17" t="s">
        <v>476</v>
      </c>
      <c r="L29" s="17" t="s">
        <v>18</v>
      </c>
      <c r="M29" s="17" t="s">
        <v>81</v>
      </c>
      <c r="N29" s="17" t="s">
        <v>13</v>
      </c>
      <c r="O29" s="17" t="s">
        <v>91</v>
      </c>
      <c r="P29" s="34">
        <f>VLOOKUP(O29,'Danh mục'!$A$3:$D$12,2,FALSE)</f>
        <v>46314</v>
      </c>
      <c r="Q29" s="34">
        <f>VLOOKUP(O29,'Danh mục'!$A$3:$D$12,3,FALSE)</f>
        <v>46320</v>
      </c>
      <c r="R29" s="18"/>
      <c r="S29" s="17" t="s">
        <v>78</v>
      </c>
      <c r="T29" s="17" t="s">
        <v>70</v>
      </c>
      <c r="U29" s="17" t="s">
        <v>76</v>
      </c>
      <c r="V29" s="17" t="s">
        <v>474</v>
      </c>
      <c r="W29" s="18"/>
      <c r="X29" s="18"/>
      <c r="Y29" s="18" t="str">
        <f>IF(AND(TODAY()&gt;Q29,T29&lt;&gt;"Done"),"TRỄ",IF(AND(C29="G4",VLOOKUP(B29,DoR!$A$2:$K$12,11,FALSE)&lt;&gt;"SẴN SÀNG PROMPT"),"THIẾU ĐẦU VÀO",""))</f>
        <v/>
      </c>
    </row>
    <row r="30">
      <c r="A30" s="17" t="s">
        <v>806</v>
      </c>
      <c r="B30" s="17" t="s">
        <v>85</v>
      </c>
      <c r="C30" s="17" t="s">
        <v>51</v>
      </c>
      <c r="D30" s="17" t="s">
        <v>807</v>
      </c>
      <c r="E30" s="17" t="s">
        <v>808</v>
      </c>
      <c r="F30" s="17" t="s">
        <v>809</v>
      </c>
      <c r="G30" s="17" t="s">
        <v>810</v>
      </c>
      <c r="H30" s="28" t="s">
        <v>607</v>
      </c>
      <c r="I30" s="28"/>
      <c r="J30" s="28"/>
      <c r="K30" s="17" t="s">
        <v>811</v>
      </c>
      <c r="L30" s="17" t="s">
        <v>35</v>
      </c>
      <c r="M30" s="17" t="s">
        <v>118</v>
      </c>
      <c r="N30" s="17" t="s">
        <v>13</v>
      </c>
      <c r="O30" s="17" t="s">
        <v>91</v>
      </c>
      <c r="P30" s="34">
        <f>VLOOKUP(O30,'Danh mục'!$A$3:$D$12,2,FALSE)</f>
        <v>46314</v>
      </c>
      <c r="Q30" s="34">
        <f>VLOOKUP(O30,'Danh mục'!$A$3:$D$12,3,FALSE)</f>
        <v>46320</v>
      </c>
      <c r="R30" s="17" t="s">
        <v>474</v>
      </c>
      <c r="S30" s="17" t="s">
        <v>78</v>
      </c>
      <c r="T30" s="17" t="s">
        <v>70</v>
      </c>
      <c r="U30" s="17" t="s">
        <v>76</v>
      </c>
      <c r="V30" s="18"/>
      <c r="W30" s="18"/>
      <c r="X30" s="18"/>
      <c r="Y30" s="18" t="str">
        <f>IF(AND(TODAY()&gt;Q30,T30&lt;&gt;"Done"),"TRỄ",IF(AND(C30="G4",VLOOKUP(B30,DoR!$A$2:$K$12,11,FALSE)&lt;&gt;"SẴN SÀNG PROMPT"),"THIẾU ĐẦU VÀO",""))</f>
        <v/>
      </c>
    </row>
    <row r="31">
      <c r="A31" s="17" t="s">
        <v>812</v>
      </c>
      <c r="B31" s="17" t="s">
        <v>93</v>
      </c>
      <c r="C31" s="17" t="s">
        <v>46</v>
      </c>
      <c r="D31" s="17" t="s">
        <v>813</v>
      </c>
      <c r="E31" s="17" t="s">
        <v>814</v>
      </c>
      <c r="F31" s="17" t="s">
        <v>815</v>
      </c>
      <c r="G31" s="17" t="s">
        <v>816</v>
      </c>
      <c r="H31" s="28" t="s">
        <v>467</v>
      </c>
      <c r="I31" s="28"/>
      <c r="J31" s="28"/>
      <c r="K31" s="17" t="s">
        <v>817</v>
      </c>
      <c r="L31" s="17" t="s">
        <v>21</v>
      </c>
      <c r="M31" s="17" t="s">
        <v>88</v>
      </c>
      <c r="N31" s="17" t="s">
        <v>9</v>
      </c>
      <c r="O31" s="17" t="s">
        <v>91</v>
      </c>
      <c r="P31" s="34">
        <f>VLOOKUP(O31,'Danh mục'!$A$3:$D$12,2,FALSE)</f>
        <v>46314</v>
      </c>
      <c r="Q31" s="34">
        <f>VLOOKUP(O31,'Danh mục'!$A$3:$D$12,3,FALSE)</f>
        <v>46320</v>
      </c>
      <c r="R31" s="17" t="s">
        <v>779</v>
      </c>
      <c r="S31" s="17" t="s">
        <v>78</v>
      </c>
      <c r="T31" s="17" t="s">
        <v>70</v>
      </c>
      <c r="U31" s="17" t="s">
        <v>76</v>
      </c>
      <c r="V31" s="18"/>
      <c r="W31" s="18"/>
      <c r="X31" s="18"/>
      <c r="Y31" s="18" t="str">
        <f>IF(AND(TODAY()&gt;Q31,T31&lt;&gt;"Done"),"TRỄ",IF(AND(C31="G4",VLOOKUP(B31,DoR!$A$2:$K$12,11,FALSE)&lt;&gt;"SẴN SÀNG PROMPT"),"THIẾU ĐẦU VÀO",""))</f>
        <v>THIẾU ĐẦU VÀO</v>
      </c>
    </row>
    <row r="32">
      <c r="A32" s="17" t="s">
        <v>488</v>
      </c>
      <c r="B32" s="17" t="s">
        <v>93</v>
      </c>
      <c r="C32" s="17" t="s">
        <v>51</v>
      </c>
      <c r="D32" s="17" t="s">
        <v>486</v>
      </c>
      <c r="E32" s="17" t="s">
        <v>486</v>
      </c>
      <c r="F32" s="17" t="s">
        <v>375</v>
      </c>
      <c r="G32" s="17" t="s">
        <v>487</v>
      </c>
      <c r="H32" s="28" t="s">
        <v>607</v>
      </c>
      <c r="I32" s="28"/>
      <c r="J32" s="28"/>
      <c r="K32" s="17" t="s">
        <v>487</v>
      </c>
      <c r="L32" s="17" t="s">
        <v>35</v>
      </c>
      <c r="M32" s="17" t="s">
        <v>118</v>
      </c>
      <c r="N32" s="17" t="s">
        <v>13</v>
      </c>
      <c r="O32" s="17" t="s">
        <v>91</v>
      </c>
      <c r="P32" s="34">
        <f>VLOOKUP(O32,'Danh mục'!$A$3:$D$12,2,FALSE)</f>
        <v>46314</v>
      </c>
      <c r="Q32" s="34">
        <f>VLOOKUP(O32,'Danh mục'!$A$3:$D$12,3,FALSE)</f>
        <v>46320</v>
      </c>
      <c r="R32" s="18"/>
      <c r="S32" s="17" t="s">
        <v>78</v>
      </c>
      <c r="T32" s="17" t="s">
        <v>70</v>
      </c>
      <c r="U32" s="17" t="s">
        <v>76</v>
      </c>
      <c r="V32" s="17" t="s">
        <v>485</v>
      </c>
      <c r="W32" s="18"/>
      <c r="X32" s="18"/>
      <c r="Y32" s="18" t="str">
        <f>IF(AND(TODAY()&gt;Q32,T32&lt;&gt;"Done"),"TRỄ",IF(AND(C32="G4",VLOOKUP(B32,DoR!$A$2:$K$12,11,FALSE)&lt;&gt;"SẴN SÀNG PROMPT"),"THIẾU ĐẦU VÀO",""))</f>
        <v/>
      </c>
    </row>
    <row r="33">
      <c r="A33" s="17" t="s">
        <v>818</v>
      </c>
      <c r="B33" s="17" t="s">
        <v>98</v>
      </c>
      <c r="C33" s="17" t="s">
        <v>46</v>
      </c>
      <c r="D33" s="17" t="s">
        <v>819</v>
      </c>
      <c r="E33" s="17" t="s">
        <v>820</v>
      </c>
      <c r="F33" s="17" t="s">
        <v>821</v>
      </c>
      <c r="G33" s="17" t="s">
        <v>822</v>
      </c>
      <c r="H33" s="28" t="s">
        <v>430</v>
      </c>
      <c r="I33" s="28"/>
      <c r="J33" s="28"/>
      <c r="K33" s="17" t="s">
        <v>823</v>
      </c>
      <c r="L33" s="17" t="s">
        <v>33</v>
      </c>
      <c r="M33" s="17" t="s">
        <v>111</v>
      </c>
      <c r="N33" s="17" t="s">
        <v>13</v>
      </c>
      <c r="O33" s="17" t="s">
        <v>91</v>
      </c>
      <c r="P33" s="34">
        <f>VLOOKUP(O33,'Danh mục'!$A$3:$D$12,2,FALSE)</f>
        <v>46314</v>
      </c>
      <c r="Q33" s="34">
        <f>VLOOKUP(O33,'Danh mục'!$A$3:$D$12,3,FALSE)</f>
        <v>46320</v>
      </c>
      <c r="R33" s="17" t="s">
        <v>785</v>
      </c>
      <c r="S33" s="17" t="s">
        <v>71</v>
      </c>
      <c r="T33" s="17" t="s">
        <v>70</v>
      </c>
      <c r="U33" s="31">
        <v>46058.0</v>
      </c>
      <c r="V33" s="18"/>
      <c r="W33" s="18"/>
      <c r="X33" s="18"/>
      <c r="Y33" s="18" t="str">
        <f>IF(AND(TODAY()&gt;Q33,T33&lt;&gt;"Done"),"TRỄ",IF(AND(C33="G4",VLOOKUP(B33,DoR!$A$2:$K$12,11,FALSE)&lt;&gt;"SẴN SÀNG PROMPT"),"THIẾU ĐẦU VÀO",""))</f>
        <v>THIẾU ĐẦU VÀO</v>
      </c>
    </row>
    <row r="34">
      <c r="A34" s="17" t="s">
        <v>824</v>
      </c>
      <c r="B34" s="17" t="s">
        <v>104</v>
      </c>
      <c r="C34" s="17" t="s">
        <v>45</v>
      </c>
      <c r="D34" s="17" t="s">
        <v>825</v>
      </c>
      <c r="E34" s="17" t="s">
        <v>826</v>
      </c>
      <c r="F34" s="17" t="s">
        <v>827</v>
      </c>
      <c r="G34" s="17" t="s">
        <v>828</v>
      </c>
      <c r="H34" s="28" t="s">
        <v>586</v>
      </c>
      <c r="I34" s="28"/>
      <c r="J34" s="28"/>
      <c r="K34" s="17" t="s">
        <v>829</v>
      </c>
      <c r="L34" s="17" t="s">
        <v>29</v>
      </c>
      <c r="M34" s="17" t="s">
        <v>103</v>
      </c>
      <c r="N34" s="17" t="s">
        <v>13</v>
      </c>
      <c r="O34" s="17" t="s">
        <v>91</v>
      </c>
      <c r="P34" s="34">
        <f>VLOOKUP(O34,'Danh mục'!$A$3:$D$12,2,FALSE)</f>
        <v>46314</v>
      </c>
      <c r="Q34" s="34">
        <f>VLOOKUP(O34,'Danh mục'!$A$3:$D$12,3,FALSE)</f>
        <v>46320</v>
      </c>
      <c r="R34" s="17" t="s">
        <v>791</v>
      </c>
      <c r="S34" s="17" t="s">
        <v>71</v>
      </c>
      <c r="T34" s="17" t="s">
        <v>70</v>
      </c>
      <c r="U34" s="31">
        <v>46086.0</v>
      </c>
      <c r="V34" s="18"/>
      <c r="W34" s="18"/>
      <c r="X34" s="18"/>
      <c r="Y34" s="18" t="str">
        <f>IF(AND(TODAY()&gt;Q34,T34&lt;&gt;"Done"),"TRỄ",IF(AND(C34="G4",VLOOKUP(B34,DoR!$A$2:$K$12,11,FALSE)&lt;&gt;"SẴN SÀNG PROMPT"),"THIẾU ĐẦU VÀO",""))</f>
        <v/>
      </c>
    </row>
    <row r="35">
      <c r="A35" s="17" t="s">
        <v>470</v>
      </c>
      <c r="B35" s="17" t="s">
        <v>104</v>
      </c>
      <c r="C35" s="17" t="s">
        <v>48</v>
      </c>
      <c r="D35" s="17" t="s">
        <v>466</v>
      </c>
      <c r="E35" s="17" t="s">
        <v>466</v>
      </c>
      <c r="F35" s="17" t="s">
        <v>375</v>
      </c>
      <c r="G35" s="17" t="s">
        <v>468</v>
      </c>
      <c r="H35" s="28" t="s">
        <v>430</v>
      </c>
      <c r="I35" s="28" t="s">
        <v>799</v>
      </c>
      <c r="J35" s="28" t="s">
        <v>800</v>
      </c>
      <c r="K35" s="17" t="s">
        <v>468</v>
      </c>
      <c r="L35" s="17" t="s">
        <v>33</v>
      </c>
      <c r="M35" s="17" t="s">
        <v>111</v>
      </c>
      <c r="N35" s="17" t="s">
        <v>13</v>
      </c>
      <c r="O35" s="17" t="s">
        <v>91</v>
      </c>
      <c r="P35" s="34">
        <f>VLOOKUP(O35,'Danh mục'!$A$3:$D$12,2,FALSE)</f>
        <v>46314</v>
      </c>
      <c r="Q35" s="34">
        <f>VLOOKUP(O35,'Danh mục'!$A$3:$D$12,3,FALSE)</f>
        <v>46320</v>
      </c>
      <c r="R35" s="18"/>
      <c r="S35" s="17" t="s">
        <v>78</v>
      </c>
      <c r="T35" s="17" t="s">
        <v>70</v>
      </c>
      <c r="U35" s="17" t="s">
        <v>76</v>
      </c>
      <c r="V35" s="17" t="s">
        <v>464</v>
      </c>
      <c r="W35" s="18"/>
      <c r="X35" s="18"/>
      <c r="Y35" s="18" t="str">
        <f>IF(AND(TODAY()&gt;Q35,T35&lt;&gt;"Done"),"TRỄ",IF(AND(C35="G4",VLOOKUP(B35,DoR!$A$2:$K$12,11,FALSE)&lt;&gt;"SẴN SÀNG PROMPT"),"THIẾU ĐẦU VÀO",""))</f>
        <v/>
      </c>
    </row>
    <row r="36">
      <c r="A36" s="17" t="s">
        <v>460</v>
      </c>
      <c r="B36" s="17" t="s">
        <v>47</v>
      </c>
      <c r="C36" s="17" t="s">
        <v>48</v>
      </c>
      <c r="D36" s="17" t="s">
        <v>830</v>
      </c>
      <c r="E36" s="17" t="s">
        <v>831</v>
      </c>
      <c r="F36" s="17" t="s">
        <v>375</v>
      </c>
      <c r="G36" s="17" t="s">
        <v>510</v>
      </c>
      <c r="H36" s="28" t="s">
        <v>495</v>
      </c>
      <c r="I36" s="28" t="s">
        <v>757</v>
      </c>
      <c r="J36" s="28" t="s">
        <v>758</v>
      </c>
      <c r="K36" s="17" t="s">
        <v>832</v>
      </c>
      <c r="L36" s="17" t="s">
        <v>26</v>
      </c>
      <c r="M36" s="17" t="s">
        <v>96</v>
      </c>
      <c r="N36" s="17" t="s">
        <v>13</v>
      </c>
      <c r="O36" s="17" t="s">
        <v>101</v>
      </c>
      <c r="P36" s="34">
        <f>VLOOKUP(O36,'Danh mục'!$A$3:$D$12,2,FALSE)</f>
        <v>46321</v>
      </c>
      <c r="Q36" s="32">
        <f>VLOOKUP(O36,'Danh mục'!$A$3:$D$12,3,FALSE)</f>
        <v>46327</v>
      </c>
      <c r="R36" s="18"/>
      <c r="S36" s="17" t="s">
        <v>78</v>
      </c>
      <c r="T36" s="17" t="s">
        <v>70</v>
      </c>
      <c r="U36" s="17" t="s">
        <v>76</v>
      </c>
      <c r="V36" s="17" t="s">
        <v>833</v>
      </c>
      <c r="W36" s="18"/>
      <c r="X36" s="18"/>
      <c r="Y36" s="18" t="str">
        <f>IF(AND(TODAY()&gt;Q36,T36&lt;&gt;"Done"),"TRỄ",IF(AND(C36="G4",VLOOKUP(B36,DoR!$A$2:$K$12,11,FALSE)&lt;&gt;"SẴN SÀNG PROMPT"),"THIẾU ĐẦU VÀO",""))</f>
        <v/>
      </c>
    </row>
    <row r="37">
      <c r="A37" s="17" t="s">
        <v>522</v>
      </c>
      <c r="B37" s="17" t="s">
        <v>85</v>
      </c>
      <c r="C37" s="17" t="s">
        <v>48</v>
      </c>
      <c r="D37" s="17" t="s">
        <v>520</v>
      </c>
      <c r="E37" s="17" t="s">
        <v>520</v>
      </c>
      <c r="F37" s="17" t="s">
        <v>375</v>
      </c>
      <c r="G37" s="17" t="s">
        <v>521</v>
      </c>
      <c r="H37" s="28" t="s">
        <v>378</v>
      </c>
      <c r="I37" s="28" t="s">
        <v>733</v>
      </c>
      <c r="J37" s="28" t="s">
        <v>734</v>
      </c>
      <c r="K37" s="17" t="s">
        <v>521</v>
      </c>
      <c r="L37" s="17" t="s">
        <v>18</v>
      </c>
      <c r="M37" s="17" t="s">
        <v>81</v>
      </c>
      <c r="N37" s="17" t="s">
        <v>13</v>
      </c>
      <c r="O37" s="17" t="s">
        <v>101</v>
      </c>
      <c r="P37" s="34">
        <f>VLOOKUP(O37,'Danh mục'!$A$3:$D$12,2,FALSE)</f>
        <v>46321</v>
      </c>
      <c r="Q37" s="32">
        <f>VLOOKUP(O37,'Danh mục'!$A$3:$D$12,3,FALSE)</f>
        <v>46327</v>
      </c>
      <c r="R37" s="18"/>
      <c r="S37" s="17" t="s">
        <v>78</v>
      </c>
      <c r="T37" s="17" t="s">
        <v>70</v>
      </c>
      <c r="U37" s="17" t="s">
        <v>76</v>
      </c>
      <c r="V37" s="17" t="s">
        <v>519</v>
      </c>
      <c r="W37" s="18"/>
      <c r="X37" s="18"/>
      <c r="Y37" s="18" t="str">
        <f>IF(AND(TODAY()&gt;Q37,T37&lt;&gt;"Done"),"TRỄ",IF(AND(C37="G4",VLOOKUP(B37,DoR!$A$2:$K$12,11,FALSE)&lt;&gt;"SẴN SÀNG PROMPT"),"THIẾU ĐẦU VÀO",""))</f>
        <v/>
      </c>
    </row>
    <row r="38">
      <c r="A38" s="17" t="s">
        <v>834</v>
      </c>
      <c r="B38" s="17" t="s">
        <v>85</v>
      </c>
      <c r="C38" s="17" t="s">
        <v>50</v>
      </c>
      <c r="D38" s="17" t="s">
        <v>835</v>
      </c>
      <c r="E38" s="17" t="s">
        <v>836</v>
      </c>
      <c r="F38" s="17" t="s">
        <v>837</v>
      </c>
      <c r="G38" s="17" t="s">
        <v>838</v>
      </c>
      <c r="H38" s="28" t="s">
        <v>378</v>
      </c>
      <c r="I38" s="28"/>
      <c r="J38" s="28"/>
      <c r="K38" s="17" t="s">
        <v>839</v>
      </c>
      <c r="L38" s="17" t="s">
        <v>18</v>
      </c>
      <c r="M38" s="17" t="s">
        <v>81</v>
      </c>
      <c r="N38" s="17" t="s">
        <v>9</v>
      </c>
      <c r="O38" s="17" t="s">
        <v>101</v>
      </c>
      <c r="P38" s="34">
        <f>VLOOKUP(O38,'Danh mục'!$A$3:$D$12,2,FALSE)</f>
        <v>46321</v>
      </c>
      <c r="Q38" s="32">
        <f>VLOOKUP(O38,'Danh mục'!$A$3:$D$12,3,FALSE)</f>
        <v>46327</v>
      </c>
      <c r="R38" s="17" t="s">
        <v>519</v>
      </c>
      <c r="S38" s="17" t="s">
        <v>78</v>
      </c>
      <c r="T38" s="17" t="s">
        <v>70</v>
      </c>
      <c r="U38" s="17" t="s">
        <v>76</v>
      </c>
      <c r="V38" s="18"/>
      <c r="W38" s="18"/>
      <c r="X38" s="18"/>
      <c r="Y38" s="18" t="str">
        <f>IF(AND(TODAY()&gt;Q38,T38&lt;&gt;"Done"),"TRỄ",IF(AND(C38="G4",VLOOKUP(B38,DoR!$A$2:$K$12,11,FALSE)&lt;&gt;"SẴN SÀNG PROMPT"),"THIẾU ĐẦU VÀO",""))</f>
        <v/>
      </c>
    </row>
    <row r="39">
      <c r="A39" s="17" t="s">
        <v>840</v>
      </c>
      <c r="B39" s="17" t="s">
        <v>93</v>
      </c>
      <c r="C39" s="17" t="s">
        <v>50</v>
      </c>
      <c r="D39" s="17" t="s">
        <v>841</v>
      </c>
      <c r="E39" s="17" t="s">
        <v>842</v>
      </c>
      <c r="F39" s="17" t="s">
        <v>843</v>
      </c>
      <c r="G39" s="17" t="s">
        <v>844</v>
      </c>
      <c r="H39" s="28" t="s">
        <v>467</v>
      </c>
      <c r="I39" s="28"/>
      <c r="J39" s="28"/>
      <c r="K39" s="17" t="s">
        <v>845</v>
      </c>
      <c r="L39" s="17" t="s">
        <v>21</v>
      </c>
      <c r="M39" s="17" t="s">
        <v>88</v>
      </c>
      <c r="N39" s="17" t="s">
        <v>9</v>
      </c>
      <c r="O39" s="17" t="s">
        <v>101</v>
      </c>
      <c r="P39" s="34">
        <f>VLOOKUP(O39,'Danh mục'!$A$3:$D$12,2,FALSE)</f>
        <v>46321</v>
      </c>
      <c r="Q39" s="32">
        <f>VLOOKUP(O39,'Danh mục'!$A$3:$D$12,3,FALSE)</f>
        <v>46327</v>
      </c>
      <c r="R39" s="17" t="s">
        <v>812</v>
      </c>
      <c r="S39" s="17" t="s">
        <v>78</v>
      </c>
      <c r="T39" s="17" t="s">
        <v>70</v>
      </c>
      <c r="U39" s="17" t="s">
        <v>76</v>
      </c>
      <c r="V39" s="18"/>
      <c r="W39" s="18"/>
      <c r="X39" s="18"/>
      <c r="Y39" s="18" t="str">
        <f>IF(AND(TODAY()&gt;Q39,T39&lt;&gt;"Done"),"TRỄ",IF(AND(C39="G4",VLOOKUP(B39,DoR!$A$2:$K$12,11,FALSE)&lt;&gt;"SẴN SÀNG PROMPT"),"THIẾU ĐẦU VÀO",""))</f>
        <v/>
      </c>
    </row>
    <row r="40">
      <c r="A40" s="17" t="s">
        <v>846</v>
      </c>
      <c r="B40" s="17" t="s">
        <v>104</v>
      </c>
      <c r="C40" s="17" t="s">
        <v>46</v>
      </c>
      <c r="D40" s="17" t="s">
        <v>847</v>
      </c>
      <c r="E40" s="17" t="s">
        <v>848</v>
      </c>
      <c r="F40" s="17" t="s">
        <v>849</v>
      </c>
      <c r="G40" s="17" t="s">
        <v>850</v>
      </c>
      <c r="H40" s="28" t="s">
        <v>586</v>
      </c>
      <c r="I40" s="28"/>
      <c r="J40" s="28"/>
      <c r="K40" s="17" t="s">
        <v>851</v>
      </c>
      <c r="L40" s="17" t="s">
        <v>29</v>
      </c>
      <c r="M40" s="17" t="s">
        <v>103</v>
      </c>
      <c r="N40" s="17" t="s">
        <v>13</v>
      </c>
      <c r="O40" s="17" t="s">
        <v>101</v>
      </c>
      <c r="P40" s="34">
        <f>VLOOKUP(O40,'Danh mục'!$A$3:$D$12,2,FALSE)</f>
        <v>46321</v>
      </c>
      <c r="Q40" s="32">
        <f>VLOOKUP(O40,'Danh mục'!$A$3:$D$12,3,FALSE)</f>
        <v>46327</v>
      </c>
      <c r="R40" s="17" t="s">
        <v>824</v>
      </c>
      <c r="S40" s="17" t="s">
        <v>78</v>
      </c>
      <c r="T40" s="17" t="s">
        <v>70</v>
      </c>
      <c r="U40" s="31">
        <v>46086.0</v>
      </c>
      <c r="V40" s="18"/>
      <c r="W40" s="18"/>
      <c r="X40" s="18"/>
      <c r="Y40" s="18" t="str">
        <f>IF(AND(TODAY()&gt;Q40,T40&lt;&gt;"Done"),"TRỄ",IF(AND(C40="G4",VLOOKUP(B40,DoR!$A$2:$K$12,11,FALSE)&lt;&gt;"SẴN SÀNG PROMPT"),"THIẾU ĐẦU VÀO",""))</f>
        <v>THIẾU ĐẦU VÀO</v>
      </c>
    </row>
    <row r="41">
      <c r="A41" s="17" t="s">
        <v>538</v>
      </c>
      <c r="B41" s="17" t="s">
        <v>104</v>
      </c>
      <c r="C41" s="17" t="s">
        <v>48</v>
      </c>
      <c r="D41" s="17" t="s">
        <v>536</v>
      </c>
      <c r="E41" s="17" t="s">
        <v>536</v>
      </c>
      <c r="F41" s="17" t="s">
        <v>375</v>
      </c>
      <c r="G41" s="17" t="s">
        <v>537</v>
      </c>
      <c r="H41" s="28" t="s">
        <v>586</v>
      </c>
      <c r="I41" s="28" t="s">
        <v>852</v>
      </c>
      <c r="J41" s="28" t="s">
        <v>853</v>
      </c>
      <c r="K41" s="17" t="s">
        <v>537</v>
      </c>
      <c r="L41" s="17" t="s">
        <v>29</v>
      </c>
      <c r="M41" s="17" t="s">
        <v>103</v>
      </c>
      <c r="N41" s="17" t="s">
        <v>13</v>
      </c>
      <c r="O41" s="17" t="s">
        <v>101</v>
      </c>
      <c r="P41" s="34">
        <f>VLOOKUP(O41,'Danh mục'!$A$3:$D$12,2,FALSE)</f>
        <v>46321</v>
      </c>
      <c r="Q41" s="32">
        <f>VLOOKUP(O41,'Danh mục'!$A$3:$D$12,3,FALSE)</f>
        <v>46327</v>
      </c>
      <c r="R41" s="18"/>
      <c r="S41" s="17" t="s">
        <v>71</v>
      </c>
      <c r="T41" s="17" t="s">
        <v>70</v>
      </c>
      <c r="U41" s="31">
        <v>46086.0</v>
      </c>
      <c r="V41" s="17" t="s">
        <v>534</v>
      </c>
      <c r="W41" s="18"/>
      <c r="X41" s="18"/>
      <c r="Y41" s="18" t="str">
        <f>IF(AND(TODAY()&gt;Q41,T41&lt;&gt;"Done"),"TRỄ",IF(AND(C41="G4",VLOOKUP(B41,DoR!$A$2:$K$12,11,FALSE)&lt;&gt;"SẴN SÀNG PROMPT"),"THIẾU ĐẦU VÀO",""))</f>
        <v/>
      </c>
    </row>
    <row r="42">
      <c r="A42" s="17" t="s">
        <v>553</v>
      </c>
      <c r="B42" s="17" t="s">
        <v>47</v>
      </c>
      <c r="C42" s="17" t="s">
        <v>50</v>
      </c>
      <c r="D42" s="17" t="s">
        <v>854</v>
      </c>
      <c r="E42" s="17" t="s">
        <v>854</v>
      </c>
      <c r="F42" s="17" t="s">
        <v>375</v>
      </c>
      <c r="G42" s="17" t="s">
        <v>552</v>
      </c>
      <c r="H42" s="28" t="s">
        <v>855</v>
      </c>
      <c r="I42" s="28"/>
      <c r="J42" s="28"/>
      <c r="K42" s="17" t="s">
        <v>552</v>
      </c>
      <c r="L42" s="17" t="s">
        <v>13</v>
      </c>
      <c r="M42" s="17" t="s">
        <v>75</v>
      </c>
      <c r="N42" s="17" t="s">
        <v>9</v>
      </c>
      <c r="O42" s="17" t="s">
        <v>107</v>
      </c>
      <c r="P42" s="32">
        <f>VLOOKUP(O42,'Danh mục'!$A$3:$D$12,2,FALSE)</f>
        <v>46328</v>
      </c>
      <c r="Q42" s="32">
        <f>VLOOKUP(O42,'Danh mục'!$A$3:$D$12,3,FALSE)</f>
        <v>46334</v>
      </c>
      <c r="R42" s="18"/>
      <c r="S42" s="17" t="s">
        <v>78</v>
      </c>
      <c r="T42" s="17" t="s">
        <v>70</v>
      </c>
      <c r="U42" s="17" t="s">
        <v>76</v>
      </c>
      <c r="V42" s="17" t="s">
        <v>550</v>
      </c>
      <c r="W42" s="18"/>
      <c r="X42" s="18"/>
      <c r="Y42" s="18" t="str">
        <f>IF(AND(TODAY()&gt;Q42,T42&lt;&gt;"Done"),"TRỄ",IF(AND(C42="G4",VLOOKUP(B42,DoR!$A$2:$K$12,11,FALSE)&lt;&gt;"SẴN SÀNG PROMPT"),"THIẾU ĐẦU VÀO",""))</f>
        <v/>
      </c>
    </row>
    <row r="43">
      <c r="A43" s="17" t="s">
        <v>548</v>
      </c>
      <c r="B43" s="17" t="s">
        <v>47</v>
      </c>
      <c r="C43" s="17" t="s">
        <v>52</v>
      </c>
      <c r="D43" s="17" t="s">
        <v>856</v>
      </c>
      <c r="E43" s="17" t="s">
        <v>856</v>
      </c>
      <c r="F43" s="17" t="s">
        <v>375</v>
      </c>
      <c r="G43" s="17" t="s">
        <v>547</v>
      </c>
      <c r="H43" s="28" t="s">
        <v>769</v>
      </c>
      <c r="I43" s="28"/>
      <c r="J43" s="28"/>
      <c r="K43" s="17" t="s">
        <v>547</v>
      </c>
      <c r="L43" s="17" t="s">
        <v>9</v>
      </c>
      <c r="M43" s="17" t="s">
        <v>69</v>
      </c>
      <c r="N43" s="17" t="s">
        <v>13</v>
      </c>
      <c r="O43" s="17" t="s">
        <v>107</v>
      </c>
      <c r="P43" s="32">
        <f>VLOOKUP(O43,'Danh mục'!$A$3:$D$12,2,FALSE)</f>
        <v>46328</v>
      </c>
      <c r="Q43" s="32">
        <f>VLOOKUP(O43,'Danh mục'!$A$3:$D$12,3,FALSE)</f>
        <v>46334</v>
      </c>
      <c r="R43" s="18"/>
      <c r="S43" s="17" t="s">
        <v>78</v>
      </c>
      <c r="T43" s="17" t="s">
        <v>70</v>
      </c>
      <c r="U43" s="17" t="s">
        <v>76</v>
      </c>
      <c r="V43" s="17" t="s">
        <v>545</v>
      </c>
      <c r="W43" s="18"/>
      <c r="X43" s="18"/>
      <c r="Y43" s="18" t="str">
        <f>IF(AND(TODAY()&gt;Q43,T43&lt;&gt;"Done"),"TRỄ",IF(AND(C43="G4",VLOOKUP(B43,DoR!$A$2:$K$12,11,FALSE)&lt;&gt;"SẴN SÀNG PROMPT"),"THIẾU ĐẦU VÀO",""))</f>
        <v/>
      </c>
    </row>
    <row r="44">
      <c r="A44" s="17" t="s">
        <v>569</v>
      </c>
      <c r="B44" s="17" t="s">
        <v>85</v>
      </c>
      <c r="C44" s="17" t="s">
        <v>48</v>
      </c>
      <c r="D44" s="17" t="s">
        <v>567</v>
      </c>
      <c r="E44" s="17" t="s">
        <v>567</v>
      </c>
      <c r="F44" s="17" t="s">
        <v>375</v>
      </c>
      <c r="G44" s="17" t="s">
        <v>568</v>
      </c>
      <c r="H44" s="28" t="s">
        <v>378</v>
      </c>
      <c r="I44" s="28" t="s">
        <v>733</v>
      </c>
      <c r="J44" s="28" t="s">
        <v>734</v>
      </c>
      <c r="K44" s="17" t="s">
        <v>568</v>
      </c>
      <c r="L44" s="17" t="s">
        <v>18</v>
      </c>
      <c r="M44" s="17" t="s">
        <v>81</v>
      </c>
      <c r="N44" s="17" t="s">
        <v>13</v>
      </c>
      <c r="O44" s="17" t="s">
        <v>107</v>
      </c>
      <c r="P44" s="32">
        <f>VLOOKUP(O44,'Danh mục'!$A$3:$D$12,2,FALSE)</f>
        <v>46328</v>
      </c>
      <c r="Q44" s="32">
        <f>VLOOKUP(O44,'Danh mục'!$A$3:$D$12,3,FALSE)</f>
        <v>46334</v>
      </c>
      <c r="R44" s="18"/>
      <c r="S44" s="17" t="s">
        <v>78</v>
      </c>
      <c r="T44" s="17" t="s">
        <v>70</v>
      </c>
      <c r="U44" s="17" t="s">
        <v>76</v>
      </c>
      <c r="V44" s="17" t="s">
        <v>566</v>
      </c>
      <c r="W44" s="18"/>
      <c r="X44" s="18"/>
      <c r="Y44" s="18" t="str">
        <f>IF(AND(TODAY()&gt;Q44,T44&lt;&gt;"Done"),"TRỄ",IF(AND(C44="G4",VLOOKUP(B44,DoR!$A$2:$K$12,11,FALSE)&lt;&gt;"SẴN SÀNG PROMPT"),"THIẾU ĐẦU VÀO",""))</f>
        <v/>
      </c>
    </row>
    <row r="45">
      <c r="A45" s="17" t="s">
        <v>574</v>
      </c>
      <c r="B45" s="17" t="s">
        <v>93</v>
      </c>
      <c r="C45" s="17" t="s">
        <v>48</v>
      </c>
      <c r="D45" s="17" t="s">
        <v>572</v>
      </c>
      <c r="E45" s="17" t="s">
        <v>572</v>
      </c>
      <c r="F45" s="17" t="s">
        <v>375</v>
      </c>
      <c r="G45" s="17" t="s">
        <v>573</v>
      </c>
      <c r="H45" s="28" t="s">
        <v>467</v>
      </c>
      <c r="I45" s="28" t="s">
        <v>857</v>
      </c>
      <c r="J45" s="28" t="s">
        <v>858</v>
      </c>
      <c r="K45" s="17" t="s">
        <v>573</v>
      </c>
      <c r="L45" s="17" t="s">
        <v>21</v>
      </c>
      <c r="M45" s="17" t="s">
        <v>88</v>
      </c>
      <c r="N45" s="17" t="s">
        <v>13</v>
      </c>
      <c r="O45" s="17" t="s">
        <v>107</v>
      </c>
      <c r="P45" s="32">
        <f>VLOOKUP(O45,'Danh mục'!$A$3:$D$12,2,FALSE)</f>
        <v>46328</v>
      </c>
      <c r="Q45" s="32">
        <f>VLOOKUP(O45,'Danh mục'!$A$3:$D$12,3,FALSE)</f>
        <v>46334</v>
      </c>
      <c r="R45" s="18"/>
      <c r="S45" s="17" t="s">
        <v>78</v>
      </c>
      <c r="T45" s="17" t="s">
        <v>70</v>
      </c>
      <c r="U45" s="17" t="s">
        <v>76</v>
      </c>
      <c r="V45" s="17" t="s">
        <v>571</v>
      </c>
      <c r="W45" s="18"/>
      <c r="X45" s="18"/>
      <c r="Y45" s="18" t="str">
        <f>IF(AND(TODAY()&gt;Q45,T45&lt;&gt;"Done"),"TRỄ",IF(AND(C45="G4",VLOOKUP(B45,DoR!$A$2:$K$12,11,FALSE)&lt;&gt;"SẴN SÀNG PROMPT"),"THIẾU ĐẦU VÀO",""))</f>
        <v/>
      </c>
    </row>
    <row r="46">
      <c r="A46" s="17" t="s">
        <v>859</v>
      </c>
      <c r="B46" s="17" t="s">
        <v>93</v>
      </c>
      <c r="C46" s="17" t="s">
        <v>52</v>
      </c>
      <c r="D46" s="17" t="s">
        <v>860</v>
      </c>
      <c r="E46" s="17" t="s">
        <v>861</v>
      </c>
      <c r="F46" s="17" t="s">
        <v>862</v>
      </c>
      <c r="G46" s="17" t="s">
        <v>863</v>
      </c>
      <c r="H46" s="28" t="s">
        <v>467</v>
      </c>
      <c r="I46" s="28"/>
      <c r="J46" s="28"/>
      <c r="K46" s="17" t="s">
        <v>864</v>
      </c>
      <c r="L46" s="17" t="s">
        <v>21</v>
      </c>
      <c r="M46" s="17" t="s">
        <v>88</v>
      </c>
      <c r="N46" s="17" t="s">
        <v>9</v>
      </c>
      <c r="O46" s="17" t="s">
        <v>107</v>
      </c>
      <c r="P46" s="32">
        <f>VLOOKUP(O46,'Danh mục'!$A$3:$D$12,2,FALSE)</f>
        <v>46328</v>
      </c>
      <c r="Q46" s="32">
        <f>VLOOKUP(O46,'Danh mục'!$A$3:$D$12,3,FALSE)</f>
        <v>46334</v>
      </c>
      <c r="R46" s="17" t="s">
        <v>571</v>
      </c>
      <c r="S46" s="17" t="s">
        <v>78</v>
      </c>
      <c r="T46" s="17" t="s">
        <v>70</v>
      </c>
      <c r="U46" s="17" t="s">
        <v>76</v>
      </c>
      <c r="V46" s="18"/>
      <c r="W46" s="18"/>
      <c r="X46" s="18"/>
      <c r="Y46" s="18" t="str">
        <f>IF(AND(TODAY()&gt;Q46,T46&lt;&gt;"Done"),"TRỄ",IF(AND(C46="G4",VLOOKUP(B46,DoR!$A$2:$K$12,11,FALSE)&lt;&gt;"SẴN SÀNG PROMPT"),"THIẾU ĐẦU VÀO",""))</f>
        <v/>
      </c>
    </row>
    <row r="47">
      <c r="A47" s="17" t="s">
        <v>865</v>
      </c>
      <c r="B47" s="17" t="s">
        <v>104</v>
      </c>
      <c r="C47" s="17" t="s">
        <v>50</v>
      </c>
      <c r="D47" s="17" t="s">
        <v>866</v>
      </c>
      <c r="E47" s="17" t="s">
        <v>867</v>
      </c>
      <c r="F47" s="17" t="s">
        <v>868</v>
      </c>
      <c r="G47" s="17" t="s">
        <v>869</v>
      </c>
      <c r="H47" s="28" t="s">
        <v>586</v>
      </c>
      <c r="I47" s="28"/>
      <c r="J47" s="28"/>
      <c r="K47" s="17" t="s">
        <v>870</v>
      </c>
      <c r="L47" s="17" t="s">
        <v>29</v>
      </c>
      <c r="M47" s="17" t="s">
        <v>103</v>
      </c>
      <c r="N47" s="17" t="s">
        <v>13</v>
      </c>
      <c r="O47" s="17" t="s">
        <v>107</v>
      </c>
      <c r="P47" s="32">
        <f>VLOOKUP(O47,'Danh mục'!$A$3:$D$12,2,FALSE)</f>
        <v>46328</v>
      </c>
      <c r="Q47" s="32">
        <f>VLOOKUP(O47,'Danh mục'!$A$3:$D$12,3,FALSE)</f>
        <v>46334</v>
      </c>
      <c r="R47" s="17" t="s">
        <v>534</v>
      </c>
      <c r="S47" s="17" t="s">
        <v>78</v>
      </c>
      <c r="T47" s="17" t="s">
        <v>70</v>
      </c>
      <c r="U47" s="31">
        <v>46086.0</v>
      </c>
      <c r="V47" s="18"/>
      <c r="W47" s="18"/>
      <c r="X47" s="18"/>
      <c r="Y47" s="18" t="str">
        <f>IF(AND(TODAY()&gt;Q47,T47&lt;&gt;"Done"),"TRỄ",IF(AND(C47="G4",VLOOKUP(B47,DoR!$A$2:$K$12,11,FALSE)&lt;&gt;"SẴN SÀNG PROMPT"),"THIẾU ĐẦU VÀO",""))</f>
        <v/>
      </c>
    </row>
    <row r="48">
      <c r="A48" s="17" t="s">
        <v>871</v>
      </c>
      <c r="B48" s="17" t="s">
        <v>104</v>
      </c>
      <c r="C48" s="17" t="s">
        <v>52</v>
      </c>
      <c r="D48" s="17" t="s">
        <v>872</v>
      </c>
      <c r="E48" s="17" t="s">
        <v>873</v>
      </c>
      <c r="F48" s="17" t="s">
        <v>874</v>
      </c>
      <c r="G48" s="17" t="s">
        <v>875</v>
      </c>
      <c r="H48" s="28" t="s">
        <v>769</v>
      </c>
      <c r="I48" s="28"/>
      <c r="J48" s="28"/>
      <c r="K48" s="17" t="s">
        <v>876</v>
      </c>
      <c r="L48" s="17" t="s">
        <v>9</v>
      </c>
      <c r="M48" s="17" t="s">
        <v>69</v>
      </c>
      <c r="N48" s="17" t="s">
        <v>13</v>
      </c>
      <c r="O48" s="17" t="s">
        <v>107</v>
      </c>
      <c r="P48" s="32">
        <f>VLOOKUP(O48,'Danh mục'!$A$3:$D$12,2,FALSE)</f>
        <v>46328</v>
      </c>
      <c r="Q48" s="32">
        <f>VLOOKUP(O48,'Danh mục'!$A$3:$D$12,3,FALSE)</f>
        <v>46334</v>
      </c>
      <c r="R48" s="17" t="s">
        <v>534</v>
      </c>
      <c r="S48" s="17" t="s">
        <v>78</v>
      </c>
      <c r="T48" s="17" t="s">
        <v>70</v>
      </c>
      <c r="U48" s="31">
        <v>46086.0</v>
      </c>
      <c r="V48" s="18"/>
      <c r="W48" s="18"/>
      <c r="X48" s="18"/>
      <c r="Y48" s="18" t="str">
        <f>IF(AND(TODAY()&gt;Q48,T48&lt;&gt;"Done"),"TRỄ",IF(AND(C48="G4",VLOOKUP(B48,DoR!$A$2:$K$12,11,FALSE)&lt;&gt;"SẴN SÀNG PROMPT"),"THIẾU ĐẦU VÀO",""))</f>
        <v/>
      </c>
    </row>
    <row r="49">
      <c r="A49" s="17" t="s">
        <v>482</v>
      </c>
      <c r="B49" s="17" t="s">
        <v>47</v>
      </c>
      <c r="C49" s="17" t="s">
        <v>48</v>
      </c>
      <c r="D49" s="17" t="s">
        <v>877</v>
      </c>
      <c r="E49" s="17" t="s">
        <v>877</v>
      </c>
      <c r="F49" s="17" t="s">
        <v>375</v>
      </c>
      <c r="G49" s="17" t="s">
        <v>878</v>
      </c>
      <c r="H49" s="28" t="s">
        <v>495</v>
      </c>
      <c r="I49" s="28"/>
      <c r="J49" s="28"/>
      <c r="K49" s="17" t="s">
        <v>878</v>
      </c>
      <c r="L49" s="17" t="s">
        <v>26</v>
      </c>
      <c r="M49" s="17" t="s">
        <v>96</v>
      </c>
      <c r="N49" s="17" t="s">
        <v>13</v>
      </c>
      <c r="O49" s="17" t="s">
        <v>114</v>
      </c>
      <c r="P49" s="32">
        <f>VLOOKUP(O49,'Danh mục'!$A$3:$D$12,2,FALSE)</f>
        <v>46335</v>
      </c>
      <c r="Q49" s="34">
        <f>VLOOKUP(O49,'Danh mục'!$A$3:$D$12,3,FALSE)</f>
        <v>46341</v>
      </c>
      <c r="R49" s="18"/>
      <c r="S49" s="17" t="s">
        <v>78</v>
      </c>
      <c r="T49" s="17" t="s">
        <v>70</v>
      </c>
      <c r="U49" s="17" t="s">
        <v>76</v>
      </c>
      <c r="V49" s="17" t="s">
        <v>603</v>
      </c>
      <c r="W49" s="18"/>
      <c r="X49" s="18"/>
      <c r="Y49" s="18" t="str">
        <f>IF(AND(TODAY()&gt;Q49,T49&lt;&gt;"Done"),"TRỄ",IF(AND(C49="G4",VLOOKUP(B49,DoR!$A$2:$K$12,11,FALSE)&lt;&gt;"SẴN SÀNG PROMPT"),"THIẾU ĐẦU VÀO",""))</f>
        <v/>
      </c>
    </row>
    <row r="50">
      <c r="A50" s="17" t="s">
        <v>617</v>
      </c>
      <c r="B50" s="17" t="s">
        <v>85</v>
      </c>
      <c r="C50" s="17" t="s">
        <v>48</v>
      </c>
      <c r="D50" s="17" t="s">
        <v>879</v>
      </c>
      <c r="E50" s="17" t="s">
        <v>880</v>
      </c>
      <c r="F50" s="17" t="s">
        <v>375</v>
      </c>
      <c r="G50" s="17" t="s">
        <v>616</v>
      </c>
      <c r="H50" s="28" t="s">
        <v>378</v>
      </c>
      <c r="I50" s="28"/>
      <c r="J50" s="28"/>
      <c r="K50" s="17" t="s">
        <v>881</v>
      </c>
      <c r="L50" s="17" t="s">
        <v>18</v>
      </c>
      <c r="M50" s="17" t="s">
        <v>81</v>
      </c>
      <c r="N50" s="17" t="s">
        <v>13</v>
      </c>
      <c r="O50" s="17" t="s">
        <v>114</v>
      </c>
      <c r="P50" s="32">
        <f>VLOOKUP(O50,'Danh mục'!$A$3:$D$12,2,FALSE)</f>
        <v>46335</v>
      </c>
      <c r="Q50" s="34">
        <f>VLOOKUP(O50,'Danh mục'!$A$3:$D$12,3,FALSE)</f>
        <v>46341</v>
      </c>
      <c r="R50" s="18"/>
      <c r="S50" s="17" t="s">
        <v>78</v>
      </c>
      <c r="T50" s="17" t="s">
        <v>70</v>
      </c>
      <c r="U50" s="17" t="s">
        <v>76</v>
      </c>
      <c r="V50" s="17" t="s">
        <v>882</v>
      </c>
      <c r="W50" s="18"/>
      <c r="X50" s="18"/>
      <c r="Y50" s="18" t="str">
        <f>IF(AND(TODAY()&gt;Q50,T50&lt;&gt;"Done"),"TRỄ",IF(AND(C50="G4",VLOOKUP(B50,DoR!$A$2:$K$12,11,FALSE)&lt;&gt;"SẴN SÀNG PROMPT"),"THIẾU ĐẦU VÀO",""))</f>
        <v/>
      </c>
    </row>
    <row r="51">
      <c r="A51" s="17" t="s">
        <v>622</v>
      </c>
      <c r="B51" s="17" t="s">
        <v>93</v>
      </c>
      <c r="C51" s="17" t="s">
        <v>48</v>
      </c>
      <c r="D51" s="17" t="s">
        <v>620</v>
      </c>
      <c r="E51" s="17" t="s">
        <v>620</v>
      </c>
      <c r="F51" s="17" t="s">
        <v>375</v>
      </c>
      <c r="G51" s="17" t="s">
        <v>621</v>
      </c>
      <c r="H51" s="28" t="s">
        <v>467</v>
      </c>
      <c r="I51" s="28" t="s">
        <v>857</v>
      </c>
      <c r="J51" s="28" t="s">
        <v>858</v>
      </c>
      <c r="K51" s="17" t="s">
        <v>621</v>
      </c>
      <c r="L51" s="17" t="s">
        <v>21</v>
      </c>
      <c r="M51" s="17" t="s">
        <v>88</v>
      </c>
      <c r="N51" s="17" t="s">
        <v>13</v>
      </c>
      <c r="O51" s="17" t="s">
        <v>114</v>
      </c>
      <c r="P51" s="32">
        <f>VLOOKUP(O51,'Danh mục'!$A$3:$D$12,2,FALSE)</f>
        <v>46335</v>
      </c>
      <c r="Q51" s="34">
        <f>VLOOKUP(O51,'Danh mục'!$A$3:$D$12,3,FALSE)</f>
        <v>46341</v>
      </c>
      <c r="R51" s="18"/>
      <c r="S51" s="17" t="s">
        <v>78</v>
      </c>
      <c r="T51" s="17" t="s">
        <v>70</v>
      </c>
      <c r="U51" s="17" t="s">
        <v>76</v>
      </c>
      <c r="V51" s="17" t="s">
        <v>619</v>
      </c>
      <c r="W51" s="18"/>
      <c r="X51" s="18"/>
      <c r="Y51" s="18" t="str">
        <f>IF(AND(TODAY()&gt;Q51,T51&lt;&gt;"Done"),"TRỄ",IF(AND(C51="G4",VLOOKUP(B51,DoR!$A$2:$K$12,11,FALSE)&lt;&gt;"SẴN SÀNG PROMPT"),"THIẾU ĐẦU VÀO",""))</f>
        <v/>
      </c>
    </row>
    <row r="52">
      <c r="A52" s="17" t="s">
        <v>633</v>
      </c>
      <c r="B52" s="17" t="s">
        <v>93</v>
      </c>
      <c r="C52" s="17" t="s">
        <v>48</v>
      </c>
      <c r="D52" s="17" t="s">
        <v>883</v>
      </c>
      <c r="E52" s="17" t="s">
        <v>883</v>
      </c>
      <c r="F52" s="17" t="s">
        <v>375</v>
      </c>
      <c r="G52" s="17" t="s">
        <v>632</v>
      </c>
      <c r="H52" s="28" t="s">
        <v>586</v>
      </c>
      <c r="I52" s="28" t="s">
        <v>884</v>
      </c>
      <c r="J52" s="28" t="s">
        <v>885</v>
      </c>
      <c r="K52" s="17" t="s">
        <v>632</v>
      </c>
      <c r="L52" s="17" t="s">
        <v>29</v>
      </c>
      <c r="M52" s="17" t="s">
        <v>103</v>
      </c>
      <c r="N52" s="17" t="s">
        <v>13</v>
      </c>
      <c r="O52" s="17" t="s">
        <v>114</v>
      </c>
      <c r="P52" s="32">
        <f>VLOOKUP(O52,'Danh mục'!$A$3:$D$12,2,FALSE)</f>
        <v>46335</v>
      </c>
      <c r="Q52" s="34">
        <f>VLOOKUP(O52,'Danh mục'!$A$3:$D$12,3,FALSE)</f>
        <v>46341</v>
      </c>
      <c r="R52" s="18"/>
      <c r="S52" s="17" t="s">
        <v>78</v>
      </c>
      <c r="T52" s="17" t="s">
        <v>70</v>
      </c>
      <c r="U52" s="17" t="s">
        <v>76</v>
      </c>
      <c r="V52" s="17" t="s">
        <v>630</v>
      </c>
      <c r="W52" s="18"/>
      <c r="X52" s="18"/>
      <c r="Y52" s="18" t="str">
        <f>IF(AND(TODAY()&gt;Q52,T52&lt;&gt;"Done"),"TRỄ",IF(AND(C52="G4",VLOOKUP(B52,DoR!$A$2:$K$12,11,FALSE)&lt;&gt;"SẴN SÀNG PROMPT"),"THIẾU ĐẦU VÀO",""))</f>
        <v/>
      </c>
    </row>
    <row r="53">
      <c r="A53" s="17" t="s">
        <v>886</v>
      </c>
      <c r="B53" s="17" t="s">
        <v>98</v>
      </c>
      <c r="C53" s="17" t="s">
        <v>50</v>
      </c>
      <c r="D53" s="17" t="s">
        <v>887</v>
      </c>
      <c r="E53" s="17" t="s">
        <v>888</v>
      </c>
      <c r="F53" s="17" t="s">
        <v>889</v>
      </c>
      <c r="G53" s="17" t="s">
        <v>890</v>
      </c>
      <c r="H53" s="28" t="s">
        <v>430</v>
      </c>
      <c r="I53" s="28"/>
      <c r="J53" s="28"/>
      <c r="K53" s="17" t="s">
        <v>891</v>
      </c>
      <c r="L53" s="17" t="s">
        <v>33</v>
      </c>
      <c r="M53" s="17" t="s">
        <v>111</v>
      </c>
      <c r="N53" s="17" t="s">
        <v>13</v>
      </c>
      <c r="O53" s="17" t="s">
        <v>114</v>
      </c>
      <c r="P53" s="32">
        <f>VLOOKUP(O53,'Danh mục'!$A$3:$D$12,2,FALSE)</f>
        <v>46335</v>
      </c>
      <c r="Q53" s="34">
        <f>VLOOKUP(O53,'Danh mục'!$A$3:$D$12,3,FALSE)</f>
        <v>46341</v>
      </c>
      <c r="R53" s="17" t="s">
        <v>364</v>
      </c>
      <c r="S53" s="17" t="s">
        <v>71</v>
      </c>
      <c r="T53" s="17" t="s">
        <v>70</v>
      </c>
      <c r="U53" s="31">
        <v>46058.0</v>
      </c>
      <c r="V53" s="18"/>
      <c r="W53" s="18"/>
      <c r="X53" s="18"/>
      <c r="Y53" s="18" t="str">
        <f>IF(AND(TODAY()&gt;Q53,T53&lt;&gt;"Done"),"TRỄ",IF(AND(C53="G4",VLOOKUP(B53,DoR!$A$2:$K$12,11,FALSE)&lt;&gt;"SẴN SÀNG PROMPT"),"THIẾU ĐẦU VÀO",""))</f>
        <v/>
      </c>
    </row>
    <row r="54">
      <c r="A54" s="17" t="s">
        <v>892</v>
      </c>
      <c r="B54" s="17" t="s">
        <v>98</v>
      </c>
      <c r="C54" s="17" t="s">
        <v>51</v>
      </c>
      <c r="D54" s="17" t="s">
        <v>893</v>
      </c>
      <c r="E54" s="17" t="s">
        <v>894</v>
      </c>
      <c r="F54" s="17" t="s">
        <v>895</v>
      </c>
      <c r="G54" s="17" t="s">
        <v>896</v>
      </c>
      <c r="H54" s="28" t="s">
        <v>607</v>
      </c>
      <c r="I54" s="28"/>
      <c r="J54" s="28"/>
      <c r="K54" s="17" t="s">
        <v>897</v>
      </c>
      <c r="L54" s="17" t="s">
        <v>35</v>
      </c>
      <c r="M54" s="17" t="s">
        <v>118</v>
      </c>
      <c r="N54" s="17" t="s">
        <v>13</v>
      </c>
      <c r="O54" s="17" t="s">
        <v>114</v>
      </c>
      <c r="P54" s="32">
        <f>VLOOKUP(O54,'Danh mục'!$A$3:$D$12,2,FALSE)</f>
        <v>46335</v>
      </c>
      <c r="Q54" s="34">
        <f>VLOOKUP(O54,'Danh mục'!$A$3:$D$12,3,FALSE)</f>
        <v>46341</v>
      </c>
      <c r="R54" s="17" t="s">
        <v>364</v>
      </c>
      <c r="S54" s="17" t="s">
        <v>71</v>
      </c>
      <c r="T54" s="17" t="s">
        <v>70</v>
      </c>
      <c r="U54" s="31">
        <v>46058.0</v>
      </c>
      <c r="V54" s="18"/>
      <c r="W54" s="18"/>
      <c r="X54" s="18"/>
      <c r="Y54" s="18" t="str">
        <f>IF(AND(TODAY()&gt;Q54,T54&lt;&gt;"Done"),"TRỄ",IF(AND(C54="G4",VLOOKUP(B54,DoR!$A$2:$K$12,11,FALSE)&lt;&gt;"SẴN SÀNG PROMPT"),"THIẾU ĐẦU VÀO",""))</f>
        <v/>
      </c>
    </row>
    <row r="55">
      <c r="A55" s="17" t="s">
        <v>685</v>
      </c>
      <c r="B55" s="17" t="s">
        <v>93</v>
      </c>
      <c r="C55" s="17" t="s">
        <v>48</v>
      </c>
      <c r="D55" s="17" t="s">
        <v>683</v>
      </c>
      <c r="E55" s="17" t="s">
        <v>683</v>
      </c>
      <c r="F55" s="17" t="s">
        <v>375</v>
      </c>
      <c r="G55" s="17" t="s">
        <v>684</v>
      </c>
      <c r="H55" s="28" t="s">
        <v>586</v>
      </c>
      <c r="I55" s="28" t="s">
        <v>884</v>
      </c>
      <c r="J55" s="28" t="s">
        <v>885</v>
      </c>
      <c r="K55" s="17" t="s">
        <v>684</v>
      </c>
      <c r="L55" s="17" t="s">
        <v>29</v>
      </c>
      <c r="M55" s="17" t="s">
        <v>103</v>
      </c>
      <c r="N55" s="17" t="s">
        <v>13</v>
      </c>
      <c r="O55" s="17" t="s">
        <v>121</v>
      </c>
      <c r="P55" s="34">
        <f>VLOOKUP(O55,'Danh mục'!$A$3:$D$12,2,FALSE)</f>
        <v>46342</v>
      </c>
      <c r="Q55" s="34">
        <f>VLOOKUP(O55,'Danh mục'!$A$3:$D$12,3,FALSE)</f>
        <v>46348</v>
      </c>
      <c r="R55" s="18"/>
      <c r="S55" s="17" t="s">
        <v>78</v>
      </c>
      <c r="T55" s="17" t="s">
        <v>70</v>
      </c>
      <c r="U55" s="17" t="s">
        <v>76</v>
      </c>
      <c r="V55" s="17" t="s">
        <v>682</v>
      </c>
      <c r="W55" s="18"/>
      <c r="X55" s="18"/>
      <c r="Y55" s="18" t="str">
        <f>IF(AND(TODAY()&gt;Q55,T55&lt;&gt;"Done"),"TRỄ",IF(AND(C55="G4",VLOOKUP(B55,DoR!$A$2:$K$12,11,FALSE)&lt;&gt;"SẴN SÀNG PROMPT"),"THIẾU ĐẦU VÀO",""))</f>
        <v/>
      </c>
    </row>
    <row r="56">
      <c r="A56" s="17" t="s">
        <v>638</v>
      </c>
      <c r="B56" s="17" t="s">
        <v>98</v>
      </c>
      <c r="C56" s="17" t="s">
        <v>52</v>
      </c>
      <c r="D56" s="17" t="s">
        <v>636</v>
      </c>
      <c r="E56" s="17" t="s">
        <v>636</v>
      </c>
      <c r="F56" s="17" t="s">
        <v>375</v>
      </c>
      <c r="G56" s="17" t="s">
        <v>637</v>
      </c>
      <c r="H56" s="28" t="s">
        <v>769</v>
      </c>
      <c r="I56" s="28"/>
      <c r="J56" s="28"/>
      <c r="K56" s="17" t="s">
        <v>637</v>
      </c>
      <c r="L56" s="17" t="s">
        <v>9</v>
      </c>
      <c r="M56" s="17" t="s">
        <v>69</v>
      </c>
      <c r="N56" s="17" t="s">
        <v>13</v>
      </c>
      <c r="O56" s="17" t="s">
        <v>121</v>
      </c>
      <c r="P56" s="34">
        <f>VLOOKUP(O56,'Danh mục'!$A$3:$D$12,2,FALSE)</f>
        <v>46342</v>
      </c>
      <c r="Q56" s="34">
        <f>VLOOKUP(O56,'Danh mục'!$A$3:$D$12,3,FALSE)</f>
        <v>46348</v>
      </c>
      <c r="R56" s="18"/>
      <c r="S56" s="17" t="s">
        <v>78</v>
      </c>
      <c r="T56" s="17" t="s">
        <v>70</v>
      </c>
      <c r="U56" s="31">
        <v>46058.0</v>
      </c>
      <c r="V56" s="17" t="s">
        <v>635</v>
      </c>
      <c r="W56" s="18"/>
      <c r="X56" s="18"/>
      <c r="Y56" s="18" t="str">
        <f>IF(AND(TODAY()&gt;Q56,T56&lt;&gt;"Done"),"TRỄ",IF(AND(C56="G4",VLOOKUP(B56,DoR!$A$2:$K$12,11,FALSE)&lt;&gt;"SẴN SÀNG PROMPT"),"THIẾU ĐẦU VÀO",""))</f>
        <v/>
      </c>
    </row>
    <row r="57">
      <c r="A57" s="17" t="s">
        <v>898</v>
      </c>
      <c r="B57" s="17" t="s">
        <v>104</v>
      </c>
      <c r="C57" s="17" t="s">
        <v>48</v>
      </c>
      <c r="D57" s="17" t="s">
        <v>652</v>
      </c>
      <c r="E57" s="17" t="s">
        <v>652</v>
      </c>
      <c r="F57" s="17" t="s">
        <v>375</v>
      </c>
      <c r="G57" s="17" t="s">
        <v>653</v>
      </c>
      <c r="H57" s="28" t="s">
        <v>495</v>
      </c>
      <c r="I57" s="28" t="s">
        <v>496</v>
      </c>
      <c r="J57" s="28" t="s">
        <v>899</v>
      </c>
      <c r="K57" s="17" t="s">
        <v>653</v>
      </c>
      <c r="L57" s="17" t="s">
        <v>26</v>
      </c>
      <c r="M57" s="17" t="s">
        <v>96</v>
      </c>
      <c r="N57" s="17" t="s">
        <v>13</v>
      </c>
      <c r="O57" s="17" t="s">
        <v>121</v>
      </c>
      <c r="P57" s="34">
        <f>VLOOKUP(O57,'Danh mục'!$A$3:$D$12,2,FALSE)</f>
        <v>46342</v>
      </c>
      <c r="Q57" s="34">
        <f>VLOOKUP(O57,'Danh mục'!$A$3:$D$12,3,FALSE)</f>
        <v>46348</v>
      </c>
      <c r="R57" s="18"/>
      <c r="S57" s="17" t="s">
        <v>78</v>
      </c>
      <c r="T57" s="17" t="s">
        <v>70</v>
      </c>
      <c r="U57" s="31">
        <v>46086.0</v>
      </c>
      <c r="V57" s="17" t="s">
        <v>651</v>
      </c>
      <c r="W57" s="18"/>
      <c r="X57" s="18"/>
      <c r="Y57" s="18" t="str">
        <f>IF(AND(TODAY()&gt;Q57,T57&lt;&gt;"Done"),"TRỄ",IF(AND(C57="G4",VLOOKUP(B57,DoR!$A$2:$K$12,11,FALSE)&lt;&gt;"SẴN SÀNG PROMPT"),"THIẾU ĐẦU VÀO",""))</f>
        <v/>
      </c>
    </row>
    <row r="58">
      <c r="A58" s="17" t="s">
        <v>720</v>
      </c>
      <c r="B58" s="17" t="s">
        <v>47</v>
      </c>
      <c r="C58" s="17" t="s">
        <v>52</v>
      </c>
      <c r="D58" s="17" t="s">
        <v>718</v>
      </c>
      <c r="E58" s="17" t="s">
        <v>718</v>
      </c>
      <c r="F58" s="17" t="s">
        <v>375</v>
      </c>
      <c r="G58" s="17" t="s">
        <v>719</v>
      </c>
      <c r="H58" s="28" t="s">
        <v>467</v>
      </c>
      <c r="I58" s="28"/>
      <c r="J58" s="28"/>
      <c r="K58" s="17" t="s">
        <v>719</v>
      </c>
      <c r="L58" s="17" t="s">
        <v>21</v>
      </c>
      <c r="M58" s="17" t="s">
        <v>88</v>
      </c>
      <c r="N58" s="17" t="s">
        <v>13</v>
      </c>
      <c r="O58" s="17" t="s">
        <v>125</v>
      </c>
      <c r="P58" s="34">
        <f>VLOOKUP(O58,'Danh mục'!$A$3:$D$12,2,FALSE)</f>
        <v>46349</v>
      </c>
      <c r="Q58" s="34">
        <f>VLOOKUP(O58,'Danh mục'!$A$3:$D$12,3,FALSE)</f>
        <v>46355</v>
      </c>
      <c r="R58" s="18"/>
      <c r="S58" s="17" t="s">
        <v>83</v>
      </c>
      <c r="T58" s="17" t="s">
        <v>70</v>
      </c>
      <c r="U58" s="17" t="s">
        <v>76</v>
      </c>
      <c r="V58" s="17" t="s">
        <v>716</v>
      </c>
      <c r="W58" s="18"/>
      <c r="X58" s="18"/>
      <c r="Y58" s="18" t="str">
        <f>IF(AND(TODAY()&gt;Q58,T58&lt;&gt;"Done"),"TRỄ",IF(AND(C58="G4",VLOOKUP(B58,DoR!$A$2:$K$12,11,FALSE)&lt;&gt;"SẴN SÀNG PROMPT"),"THIẾU ĐẦU VÀO",""))</f>
        <v/>
      </c>
    </row>
    <row r="59">
      <c r="A59" s="17" t="s">
        <v>714</v>
      </c>
      <c r="B59" s="17" t="s">
        <v>85</v>
      </c>
      <c r="C59" s="17" t="s">
        <v>52</v>
      </c>
      <c r="D59" s="17" t="s">
        <v>712</v>
      </c>
      <c r="E59" s="17" t="s">
        <v>712</v>
      </c>
      <c r="F59" s="17" t="s">
        <v>375</v>
      </c>
      <c r="G59" s="17" t="s">
        <v>713</v>
      </c>
      <c r="H59" s="28" t="s">
        <v>378</v>
      </c>
      <c r="I59" s="28"/>
      <c r="J59" s="28"/>
      <c r="K59" s="17" t="s">
        <v>713</v>
      </c>
      <c r="L59" s="17" t="s">
        <v>18</v>
      </c>
      <c r="M59" s="17" t="s">
        <v>81</v>
      </c>
      <c r="N59" s="17" t="s">
        <v>13</v>
      </c>
      <c r="O59" s="17" t="s">
        <v>125</v>
      </c>
      <c r="P59" s="34">
        <f>VLOOKUP(O59,'Danh mục'!$A$3:$D$12,2,FALSE)</f>
        <v>46349</v>
      </c>
      <c r="Q59" s="34">
        <f>VLOOKUP(O59,'Danh mục'!$A$3:$D$12,3,FALSE)</f>
        <v>46355</v>
      </c>
      <c r="R59" s="18"/>
      <c r="S59" s="17" t="s">
        <v>78</v>
      </c>
      <c r="T59" s="17" t="s">
        <v>70</v>
      </c>
      <c r="U59" s="17" t="s">
        <v>76</v>
      </c>
      <c r="V59" s="17" t="s">
        <v>711</v>
      </c>
      <c r="W59" s="18"/>
      <c r="X59" s="18"/>
      <c r="Y59" s="18" t="str">
        <f>IF(AND(TODAY()&gt;Q59,T59&lt;&gt;"Done"),"TRỄ",IF(AND(C59="G4",VLOOKUP(B59,DoR!$A$2:$K$12,11,FALSE)&lt;&gt;"SẴN SÀNG PROMPT"),"THIẾU ĐẦU VÀO",""))</f>
        <v/>
      </c>
    </row>
    <row r="60">
      <c r="A60" s="17" t="s">
        <v>709</v>
      </c>
      <c r="B60" s="17" t="s">
        <v>98</v>
      </c>
      <c r="C60" s="17" t="s">
        <v>52</v>
      </c>
      <c r="D60" s="17" t="s">
        <v>706</v>
      </c>
      <c r="E60" s="17" t="s">
        <v>706</v>
      </c>
      <c r="F60" s="17" t="s">
        <v>375</v>
      </c>
      <c r="G60" s="17" t="s">
        <v>708</v>
      </c>
      <c r="H60" s="28" t="s">
        <v>430</v>
      </c>
      <c r="I60" s="28"/>
      <c r="J60" s="28"/>
      <c r="K60" s="17" t="s">
        <v>708</v>
      </c>
      <c r="L60" s="17" t="s">
        <v>33</v>
      </c>
      <c r="M60" s="17" t="s">
        <v>111</v>
      </c>
      <c r="N60" s="17" t="s">
        <v>13</v>
      </c>
      <c r="O60" s="17" t="s">
        <v>125</v>
      </c>
      <c r="P60" s="34">
        <f>VLOOKUP(O60,'Danh mục'!$A$3:$D$12,2,FALSE)</f>
        <v>46349</v>
      </c>
      <c r="Q60" s="34">
        <f>VLOOKUP(O60,'Danh mục'!$A$3:$D$12,3,FALSE)</f>
        <v>46355</v>
      </c>
      <c r="R60" s="18"/>
      <c r="S60" s="17" t="s">
        <v>71</v>
      </c>
      <c r="T60" s="17" t="s">
        <v>70</v>
      </c>
      <c r="U60" s="31">
        <v>46058.0</v>
      </c>
      <c r="V60" s="17" t="s">
        <v>705</v>
      </c>
      <c r="W60" s="18"/>
      <c r="X60" s="18"/>
      <c r="Y60" s="18" t="str">
        <f>IF(AND(TODAY()&gt;Q60,T60&lt;&gt;"Done"),"TRỄ",IF(AND(C60="G4",VLOOKUP(B60,DoR!$A$2:$K$12,11,FALSE)&lt;&gt;"SẴN SÀNG PROMPT"),"THIẾU ĐẦU VÀO",""))</f>
        <v/>
      </c>
    </row>
    <row r="61">
      <c r="E61" s="18"/>
      <c r="H61" s="36"/>
      <c r="I61" s="36"/>
      <c r="J61" s="36"/>
      <c r="K61" s="18"/>
    </row>
    <row r="62">
      <c r="E62" s="18"/>
      <c r="H62" s="36"/>
      <c r="I62" s="36"/>
      <c r="J62" s="36"/>
      <c r="K62" s="18"/>
    </row>
    <row r="63">
      <c r="E63" s="18"/>
      <c r="H63" s="36"/>
      <c r="I63" s="36"/>
      <c r="J63" s="36"/>
      <c r="K63" s="18"/>
    </row>
    <row r="64">
      <c r="E64" s="18"/>
      <c r="H64" s="36"/>
      <c r="I64" s="36"/>
      <c r="J64" s="36"/>
      <c r="K64" s="18"/>
    </row>
    <row r="65">
      <c r="E65" s="18"/>
      <c r="H65" s="36"/>
      <c r="I65" s="36"/>
      <c r="J65" s="36"/>
      <c r="K65" s="18"/>
    </row>
    <row r="66">
      <c r="E66" s="18"/>
      <c r="H66" s="36"/>
      <c r="I66" s="36"/>
      <c r="J66" s="36"/>
      <c r="K66" s="18"/>
    </row>
    <row r="67">
      <c r="E67" s="18"/>
      <c r="H67" s="36"/>
      <c r="I67" s="36"/>
      <c r="J67" s="36"/>
      <c r="K67" s="18"/>
    </row>
    <row r="68">
      <c r="E68" s="18"/>
      <c r="H68" s="36"/>
      <c r="I68" s="36"/>
      <c r="J68" s="36"/>
      <c r="K68" s="18"/>
    </row>
    <row r="69">
      <c r="E69" s="18"/>
      <c r="H69" s="36"/>
      <c r="I69" s="36"/>
      <c r="J69" s="36"/>
      <c r="K69" s="18"/>
    </row>
    <row r="70">
      <c r="E70" s="18"/>
      <c r="H70" s="36"/>
      <c r="I70" s="36"/>
      <c r="J70" s="36"/>
      <c r="K70" s="18"/>
    </row>
    <row r="71">
      <c r="E71" s="18"/>
      <c r="H71" s="36"/>
      <c r="I71" s="36"/>
      <c r="J71" s="36"/>
      <c r="K71" s="18"/>
    </row>
    <row r="72">
      <c r="E72" s="18"/>
      <c r="H72" s="36"/>
      <c r="I72" s="36"/>
      <c r="J72" s="36"/>
      <c r="K72" s="18"/>
    </row>
    <row r="73">
      <c r="E73" s="18"/>
      <c r="H73" s="36"/>
      <c r="I73" s="36"/>
      <c r="J73" s="36"/>
      <c r="K73" s="18"/>
    </row>
    <row r="74">
      <c r="E74" s="18"/>
      <c r="H74" s="36"/>
      <c r="I74" s="36"/>
      <c r="J74" s="36"/>
      <c r="K74" s="18"/>
    </row>
    <row r="75">
      <c r="E75" s="18"/>
      <c r="H75" s="36"/>
      <c r="I75" s="36"/>
      <c r="J75" s="36"/>
      <c r="K75" s="18"/>
    </row>
    <row r="76">
      <c r="E76" s="18"/>
      <c r="H76" s="36"/>
      <c r="I76" s="36"/>
      <c r="J76" s="36"/>
      <c r="K76" s="18"/>
    </row>
    <row r="77">
      <c r="E77" s="18"/>
      <c r="H77" s="36"/>
      <c r="I77" s="36"/>
      <c r="J77" s="36"/>
      <c r="K77" s="18"/>
    </row>
    <row r="78">
      <c r="E78" s="18"/>
      <c r="H78" s="36"/>
      <c r="I78" s="36"/>
      <c r="J78" s="36"/>
      <c r="K78" s="18"/>
    </row>
    <row r="79">
      <c r="E79" s="18"/>
      <c r="H79" s="36"/>
      <c r="I79" s="36"/>
      <c r="J79" s="36"/>
      <c r="K79" s="18"/>
    </row>
    <row r="80">
      <c r="E80" s="18"/>
      <c r="H80" s="36"/>
      <c r="I80" s="36"/>
      <c r="J80" s="36"/>
      <c r="K80" s="18"/>
    </row>
    <row r="81">
      <c r="E81" s="18"/>
      <c r="H81" s="36"/>
      <c r="I81" s="36"/>
      <c r="J81" s="36"/>
      <c r="K81" s="18"/>
    </row>
    <row r="82">
      <c r="E82" s="18"/>
      <c r="H82" s="36"/>
      <c r="I82" s="36"/>
      <c r="J82" s="36"/>
      <c r="K82" s="18"/>
    </row>
    <row r="83">
      <c r="E83" s="18"/>
      <c r="H83" s="36"/>
      <c r="I83" s="36"/>
      <c r="J83" s="36"/>
      <c r="K83" s="18"/>
    </row>
    <row r="84">
      <c r="E84" s="18"/>
      <c r="H84" s="36"/>
      <c r="I84" s="36"/>
      <c r="J84" s="36"/>
      <c r="K84" s="18"/>
    </row>
    <row r="85">
      <c r="E85" s="18"/>
      <c r="H85" s="36"/>
      <c r="I85" s="36"/>
      <c r="J85" s="36"/>
      <c r="K85" s="18"/>
    </row>
    <row r="86">
      <c r="E86" s="18"/>
      <c r="H86" s="36"/>
      <c r="I86" s="36"/>
      <c r="J86" s="36"/>
      <c r="K86" s="18"/>
    </row>
    <row r="87">
      <c r="E87" s="18"/>
      <c r="H87" s="36"/>
      <c r="I87" s="36"/>
      <c r="J87" s="36"/>
      <c r="K87" s="18"/>
    </row>
    <row r="88">
      <c r="E88" s="18"/>
      <c r="H88" s="36"/>
      <c r="I88" s="36"/>
      <c r="J88" s="36"/>
      <c r="K88" s="18"/>
    </row>
    <row r="89">
      <c r="E89" s="18"/>
      <c r="H89" s="36"/>
      <c r="I89" s="36"/>
      <c r="J89" s="36"/>
      <c r="K89" s="18"/>
    </row>
    <row r="90">
      <c r="E90" s="18"/>
      <c r="H90" s="36"/>
      <c r="I90" s="36"/>
      <c r="J90" s="36"/>
      <c r="K90" s="18"/>
    </row>
    <row r="91">
      <c r="E91" s="18"/>
      <c r="H91" s="36"/>
      <c r="I91" s="36"/>
      <c r="J91" s="36"/>
      <c r="K91" s="18"/>
    </row>
    <row r="92">
      <c r="E92" s="18"/>
      <c r="H92" s="36"/>
      <c r="I92" s="36"/>
      <c r="J92" s="36"/>
      <c r="K92" s="18"/>
    </row>
    <row r="93">
      <c r="E93" s="18"/>
      <c r="H93" s="36"/>
      <c r="I93" s="36"/>
      <c r="J93" s="36"/>
      <c r="K93" s="18"/>
    </row>
    <row r="94">
      <c r="E94" s="18"/>
      <c r="H94" s="36"/>
      <c r="I94" s="36"/>
      <c r="J94" s="36"/>
      <c r="K94" s="18"/>
    </row>
    <row r="95">
      <c r="E95" s="18"/>
      <c r="H95" s="36"/>
      <c r="I95" s="36"/>
      <c r="J95" s="36"/>
      <c r="K95" s="18"/>
    </row>
    <row r="96">
      <c r="E96" s="18"/>
      <c r="H96" s="36"/>
      <c r="I96" s="36"/>
      <c r="J96" s="36"/>
      <c r="K96" s="18"/>
    </row>
    <row r="97">
      <c r="E97" s="18"/>
      <c r="H97" s="36"/>
      <c r="I97" s="36"/>
      <c r="J97" s="36"/>
      <c r="K97" s="18"/>
    </row>
    <row r="98">
      <c r="E98" s="18"/>
      <c r="H98" s="36"/>
      <c r="I98" s="36"/>
      <c r="J98" s="36"/>
      <c r="K98" s="18"/>
    </row>
    <row r="99">
      <c r="E99" s="18"/>
      <c r="H99" s="36"/>
      <c r="I99" s="36"/>
      <c r="J99" s="36"/>
      <c r="K99" s="18"/>
    </row>
    <row r="100">
      <c r="E100" s="18"/>
      <c r="H100" s="36"/>
      <c r="I100" s="36"/>
      <c r="J100" s="36"/>
      <c r="K100" s="18"/>
    </row>
  </sheetData>
  <hyperlinks>
    <hyperlink r:id="rId1" ref="W2"/>
    <hyperlink r:id="rId2" ref="W10"/>
    <hyperlink r:id="rId3" ref="W13"/>
    <hyperlink r:id="rId4" ref="W21"/>
    <hyperlink r:id="rId5" ref="W27"/>
  </hyperlinks>
  <drawing r:id="rId6"/>
</worksheet>
</file>